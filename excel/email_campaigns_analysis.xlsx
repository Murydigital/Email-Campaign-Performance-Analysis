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_Analysis" sheetId="1" r:id="rId5"/>
    <sheet state="visible" name="Monthly_Trends" sheetId="2" r:id="rId6"/>
    <sheet state="visible" name="Subject_Line_Analysis" sheetId="3" r:id="rId7"/>
    <sheet state="visible" name="Segment_Analysis" sheetId="4" r:id="rId8"/>
  </sheets>
  <definedNames/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<sst xmlns="http://schemas.openxmlformats.org/spreadsheetml/2006/main" count="160" uniqueCount="92">
  <si>
    <t>Campaign_ID</t>
  </si>
  <si>
    <t>Campaign_Name</t>
  </si>
  <si>
    <t>Send_Date</t>
  </si>
  <si>
    <t>Day_of_Week</t>
  </si>
  <si>
    <t>Segment</t>
  </si>
  <si>
    <t>Subject_Line_Type</t>
  </si>
  <si>
    <t>Emails_Sent</t>
  </si>
  <si>
    <t>Opens</t>
  </si>
  <si>
    <t>Clicks</t>
  </si>
  <si>
    <t>Bounces</t>
  </si>
  <si>
    <t>Unsubscribes</t>
  </si>
  <si>
    <t>Conversions</t>
  </si>
  <si>
    <t>Revenue</t>
  </si>
  <si>
    <t>Open_Rate</t>
  </si>
  <si>
    <t>CTR</t>
  </si>
  <si>
    <t>Click_to_Open</t>
  </si>
  <si>
    <t>Conversion_Rate</t>
  </si>
  <si>
    <t>Revenue_Per_Email</t>
  </si>
  <si>
    <t>Revenue_Per_Conversion</t>
  </si>
  <si>
    <t>Month</t>
  </si>
  <si>
    <t>CAMP_001</t>
  </si>
  <si>
    <t>Summer Sale Launch</t>
  </si>
  <si>
    <t>Tuesday</t>
  </si>
  <si>
    <t>Engaged Customers</t>
  </si>
  <si>
    <t>Discount Offer</t>
  </si>
  <si>
    <t>CAMP_002</t>
  </si>
  <si>
    <t>Product Newsletter</t>
  </si>
  <si>
    <t>New Subscribers</t>
  </si>
  <si>
    <t>Educational</t>
  </si>
  <si>
    <t>CAMP_003</t>
  </si>
  <si>
    <t>Flash Sale 24hrs</t>
  </si>
  <si>
    <t>VIP Customers</t>
  </si>
  <si>
    <t>Urgency</t>
  </si>
  <si>
    <t>CAMP_004</t>
  </si>
  <si>
    <t>Welcome Series</t>
  </si>
  <si>
    <t>Welcome</t>
  </si>
  <si>
    <t>CAMP_005</t>
  </si>
  <si>
    <t>Weekend Special</t>
  </si>
  <si>
    <t>CAMP_006</t>
  </si>
  <si>
    <t>Product Launch</t>
  </si>
  <si>
    <t>All Subscribers</t>
  </si>
  <si>
    <t>Product Announcement</t>
  </si>
  <si>
    <t>CAMP_007</t>
  </si>
  <si>
    <t>Re-engagement</t>
  </si>
  <si>
    <t>Inactive</t>
  </si>
  <si>
    <t>Win-back</t>
  </si>
  <si>
    <t>CAMP_008</t>
  </si>
  <si>
    <t>Monthly Tips</t>
  </si>
  <si>
    <t>CAMP_009</t>
  </si>
  <si>
    <t>VIP Exclusive</t>
  </si>
  <si>
    <t>Exclusive Offer</t>
  </si>
  <si>
    <t>CAMP_010</t>
  </si>
  <si>
    <t>Fall Campaign</t>
  </si>
  <si>
    <t>CAMP_011</t>
  </si>
  <si>
    <t>Flash Friday</t>
  </si>
  <si>
    <t>CAMP_012</t>
  </si>
  <si>
    <t>Customer Stories</t>
  </si>
  <si>
    <t>CAMP_013</t>
  </si>
  <si>
    <t>Halloween Sale</t>
  </si>
  <si>
    <t>CAMP_014</t>
  </si>
  <si>
    <t>November Newsletter</t>
  </si>
  <si>
    <t>CAMP_015</t>
  </si>
  <si>
    <t>Black Friday Preview</t>
  </si>
  <si>
    <t>CAMP_016</t>
  </si>
  <si>
    <t>Black Friday</t>
  </si>
  <si>
    <t>CAMP_017</t>
  </si>
  <si>
    <t>Cyber Monday</t>
  </si>
  <si>
    <t>CAMP_018</t>
  </si>
  <si>
    <t>Holiday Gift Guide</t>
  </si>
  <si>
    <t>CAMP_019</t>
  </si>
  <si>
    <t>Last Minute Gifts</t>
  </si>
  <si>
    <t>CAMP_020</t>
  </si>
  <si>
    <t>Year End Sale</t>
  </si>
  <si>
    <t>Campaigns_Sent</t>
  </si>
  <si>
    <t>Total_Emails_Sent</t>
  </si>
  <si>
    <t>Total_Revenue</t>
  </si>
  <si>
    <t>Avg_Open_Rate</t>
  </si>
  <si>
    <t>Avg_CTR</t>
  </si>
  <si>
    <t>Sep-2025</t>
  </si>
  <si>
    <t>Oct-2025</t>
  </si>
  <si>
    <t>Nov-2025</t>
  </si>
  <si>
    <t>May-2025</t>
  </si>
  <si>
    <t>Dec-2025</t>
  </si>
  <si>
    <t>Aug-2025</t>
  </si>
  <si>
    <t>Grand Total</t>
  </si>
  <si>
    <t>Campaign_Count</t>
  </si>
  <si>
    <t>Avg_Conversion_Rate</t>
  </si>
  <si>
    <t>Avg_Revenue_Per_Email</t>
  </si>
  <si>
    <t>Total_Campaigns</t>
  </si>
  <si>
    <t>AVERAGE of CTR</t>
  </si>
  <si>
    <t>SUM of Revenue</t>
  </si>
  <si>
    <t>AVERAGE of Conversion_Rate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</si>
</sst>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[$£-809]#,##0.00"/>
    <numFmt numFmtId="166" formatCode="[$£]#,##0.00"/>
    <numFmt numFmtId="167" formatCode="[$£-809]#,##0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GtCanon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left"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1" numFmtId="166" xfId="0" applyAlignment="1" applyFont="1" applyNumberFormat="1">
      <alignment vertical="bottom"/>
    </xf>
    <xf borderId="0" fillId="0" fontId="3" numFmtId="164" xfId="0" applyAlignment="1" applyFont="1" applyNumberFormat="1">
      <alignment horizontal="left"/>
    </xf>
    <xf borderId="0" fillId="0" fontId="3" numFmtId="0" xfId="0" applyFont="1"/>
    <xf borderId="0" fillId="0" fontId="3" numFmtId="10" xfId="0" applyFont="1" applyNumberFormat="1"/>
    <xf borderId="0" fillId="0" fontId="3" numFmtId="167" xfId="0" applyFont="1" applyNumberFormat="1"/>
    <xf borderId="0" fillId="0" fontId="3" numFmtId="9" xfId="0" applyFont="1" applyNumberFormat="1"/>
    <xf borderId="0" fillId="0" fontId="3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T21" sheet="Campaign_Analysis"/>
  </cacheSource>
  <cacheFields>
    <cacheField name="Campaign_ID" numFmtId="0">
      <sharedItems>
        <s v="CAMP_001"/>
        <s v="CAMP_002"/>
        <s v="CAMP_003"/>
        <s v="CAMP_004"/>
        <s v="CAMP_005"/>
        <s v="CAMP_006"/>
        <s v="CAMP_007"/>
        <s v="CAMP_008"/>
        <s v="CAMP_009"/>
        <s v="CAMP_010"/>
        <s v="CAMP_011"/>
        <s v="CAMP_012"/>
        <s v="CAMP_013"/>
        <s v="CAMP_014"/>
        <s v="CAMP_015"/>
        <s v="CAMP_016"/>
        <s v="CAMP_017"/>
        <s v="CAMP_018"/>
        <s v="CAMP_019"/>
        <s v="CAMP_020"/>
      </sharedItems>
    </cacheField>
    <cacheField name="Campaign_Name" numFmtId="0">
      <sharedItems>
        <s v="Summer Sale Launch"/>
        <s v="Product Newsletter"/>
        <s v="Flash Sale 24hrs"/>
        <s v="Welcome Series"/>
        <s v="Weekend Special"/>
        <s v="Product Launch"/>
        <s v="Re-engagement"/>
        <s v="Monthly Tips"/>
        <s v="VIP Exclusive"/>
        <s v="Fall Campaign"/>
        <s v="Flash Friday"/>
        <s v="Customer Stories"/>
        <s v="Halloween Sale"/>
        <s v="November Newsletter"/>
        <s v="Black Friday Preview"/>
        <s v="Black Friday"/>
        <s v="Cyber Monday"/>
        <s v="Holiday Gift Guide"/>
        <s v="Last Minute Gifts"/>
        <s v="Year End Sale"/>
      </sharedItems>
    </cacheField>
    <cacheField name="Send_Date" numFmtId="164">
      <sharedItems containsSemiMixedTypes="0" containsDate="1" containsString="0">
        <d v="2025-05-08T00:00:00Z"/>
        <d v="2025-12-08T00:00:00Z"/>
        <d v="2025-08-19T00:00:00Z"/>
        <d v="2025-08-26T00:00:00Z"/>
        <d v="2025-09-02T00:00:00Z"/>
        <d v="2025-09-09T00:00:00Z"/>
        <d v="2025-09-16T00:00:00Z"/>
        <d v="2025-09-23T00:00:00Z"/>
        <d v="2025-09-30T00:00:00Z"/>
        <d v="2025-10-07T00:00:00Z"/>
        <d v="2025-10-14T00:00:00Z"/>
        <d v="2025-10-21T00:00:00Z"/>
        <d v="2025-10-28T00:00:00Z"/>
        <d v="2025-11-04T00:00:00Z"/>
        <d v="2025-11-11T00:00:00Z"/>
        <d v="2025-11-25T00:00:00Z"/>
        <d v="2025-12-02T00:00:00Z"/>
        <d v="2025-12-09T00:00:00Z"/>
        <d v="2025-12-16T00:00:00Z"/>
        <d v="2025-12-30T00:00:00Z"/>
      </sharedItems>
    </cacheField>
    <cacheField name="Day_of_Week" numFmtId="0">
      <sharedItems>
        <s v="Tuesday"/>
      </sharedItems>
    </cacheField>
    <cacheField name="Segment" numFmtId="0">
      <sharedItems>
        <s v="Engaged Customers"/>
        <s v="New Subscribers"/>
        <s v="VIP Customers"/>
        <s v="All Subscribers"/>
        <s v="Inactive"/>
      </sharedItems>
    </cacheField>
    <cacheField name="Subject_Line_Type" numFmtId="0">
      <sharedItems>
        <s v="Discount Offer"/>
        <s v="Educational"/>
        <s v="Urgency"/>
        <s v="Welcome"/>
        <s v="Product Announcement"/>
        <s v="Win-back"/>
        <s v="Exclusive Offer"/>
      </sharedItems>
    </cacheField>
    <cacheField name="Emails_Sent" numFmtId="0">
      <sharedItems containsSemiMixedTypes="0" containsString="0" containsNumber="1" containsInteger="1">
        <n v="45000.0"/>
        <n v="25000.0"/>
        <n v="15000.0"/>
        <n v="30000.0"/>
        <n v="40000.0"/>
        <n v="60000.0"/>
        <n v="35000.0"/>
        <n v="42000.0"/>
        <n v="18000.0"/>
        <n v="48000.0"/>
        <n v="55000.0"/>
        <n v="38000.0"/>
        <n v="62000.0"/>
        <n v="44000.0"/>
        <n v="70000.0"/>
        <n v="75000.0"/>
        <n v="72000.0"/>
        <n v="50000.0"/>
        <n v="65000.0"/>
        <n v="58000.0"/>
      </sharedItems>
    </cacheField>
    <cacheField name="Opens" numFmtId="0">
      <sharedItems containsSemiMixedTypes="0" containsString="0" containsNumber="1" containsInteger="1">
        <n v="13500.0"/>
        <n v="6250.0"/>
        <n v="5250.0"/>
        <n v="10500.0"/>
        <n v="11200.0"/>
        <n v="15000.0"/>
        <n v="7000.0"/>
        <n v="14700.0"/>
        <n v="6480.0"/>
        <n v="14400.0"/>
        <n v="13750.0"/>
        <n v="13300.0"/>
        <n v="18600.0"/>
        <n v="15400.0"/>
        <n v="24500.0"/>
        <n v="26250.0"/>
        <n v="25200.0"/>
        <n v="17500.0"/>
        <n v="19500.0"/>
        <n v="20300.0"/>
      </sharedItems>
    </cacheField>
    <cacheField name="Clicks" numFmtId="0">
      <sharedItems containsSemiMixedTypes="0" containsString="0" containsNumber="1" containsInteger="1">
        <n v="3375.0"/>
        <n v="1250.0"/>
        <n v="1575.0"/>
        <n v="2100.0"/>
        <n v="2800.0"/>
        <n v="3000.0"/>
        <n v="1400.0"/>
        <n v="2940.0"/>
        <n v="1944.0"/>
        <n v="3600.0"/>
        <n v="3438.0"/>
        <n v="2660.0"/>
        <n v="4650.0"/>
        <n v="3080.0"/>
        <n v="6125.0"/>
        <n v="6563.0"/>
        <n v="6300.0"/>
        <n v="3500.0"/>
        <n v="4875.0"/>
        <n v="5075.0"/>
      </sharedItems>
    </cacheField>
    <cacheField name="Bounces" numFmtId="0">
      <sharedItems containsSemiMixedTypes="0" containsString="0" containsNumber="1" containsInteger="1">
        <n v="450.0"/>
        <n v="250.0"/>
        <n v="150.0"/>
        <n v="300.0"/>
        <n v="400.0"/>
        <n v="600.0"/>
        <n v="350.0"/>
        <n v="420.0"/>
        <n v="180.0"/>
        <n v="480.0"/>
        <n v="550.0"/>
        <n v="380.0"/>
        <n v="620.0"/>
        <n v="440.0"/>
        <n v="700.0"/>
        <n v="750.0"/>
        <n v="720.0"/>
        <n v="500.0"/>
        <n v="650.0"/>
        <n v="580.0"/>
      </sharedItems>
    </cacheField>
    <cacheField name="Unsubscribes" numFmtId="0">
      <sharedItems containsSemiMixedTypes="0" containsString="0" containsNumber="1" containsInteger="1">
        <n v="90.0"/>
        <n v="50.0"/>
        <n v="30.0"/>
        <n v="60.0"/>
        <n v="80.0"/>
        <n v="120.0"/>
        <n v="175.0"/>
        <n v="84.0"/>
        <n v="36.0"/>
        <n v="96.0"/>
        <n v="110.0"/>
        <n v="76.0"/>
        <n v="124.0"/>
        <n v="88.0"/>
        <n v="140.0"/>
        <n v="150.0"/>
        <n v="144.0"/>
        <n v="100.0"/>
        <n v="130.0"/>
        <n v="116.0"/>
      </sharedItems>
    </cacheField>
    <cacheField name="Conversions" numFmtId="0">
      <sharedItems containsSemiMixedTypes="0" containsString="0" containsNumber="1" containsInteger="1">
        <n v="338.0"/>
        <n v="94.0"/>
        <n v="189.0"/>
        <n v="147.0"/>
        <n v="280.0"/>
        <n v="240.0"/>
        <n v="98.0"/>
        <n v="206.0"/>
        <n v="233.0"/>
        <n v="324.0"/>
        <n v="275.0"/>
        <n v="186.0"/>
        <n v="465.0"/>
        <n v="216.0"/>
        <n v="613.0"/>
        <n v="722.0"/>
        <n v="693.0"/>
        <n v="438.0"/>
        <n v="457.0"/>
      </sharedItems>
    </cacheField>
    <cacheField name="Revenue" numFmtId="0">
      <sharedItems containsSemiMixedTypes="0" containsString="0" containsNumber="1" containsInteger="1">
        <n v="33800.0"/>
        <n v="9400.0"/>
        <n v="37800.0"/>
        <n v="14700.0"/>
        <n v="28000.0"/>
        <n v="48000.0"/>
        <n v="9800.0"/>
        <n v="20600.0"/>
        <n v="46600.0"/>
        <n v="64800.0"/>
        <n v="55000.0"/>
        <n v="18600.0"/>
        <n v="93000.0"/>
        <n v="21600.0"/>
        <n v="122600.0"/>
        <n v="144400.0"/>
        <n v="138600.0"/>
        <n v="56000.0"/>
        <n v="87600.0"/>
        <n v="91400.0"/>
      </sharedItems>
    </cacheField>
    <cacheField name="Open_Rate" numFmtId="9">
      <sharedItems containsSemiMixedTypes="0" containsString="0" containsNumber="1">
        <n v="0.3"/>
        <n v="0.25"/>
        <n v="0.35"/>
        <n v="0.28"/>
        <n v="0.2"/>
        <n v="0.36"/>
      </sharedItems>
    </cacheField>
    <cacheField name="CTR" numFmtId="9">
      <sharedItems containsSemiMixedTypes="0" containsString="0" containsNumber="1">
        <n v="0.25"/>
        <n v="0.2"/>
        <n v="0.3"/>
        <n v="0.2500363636363636"/>
        <n v="0.25001904761904764"/>
      </sharedItems>
    </cacheField>
    <cacheField name="Click_to_Open" numFmtId="9">
      <sharedItems containsSemiMixedTypes="0" containsString="0" containsNumber="1">
        <n v="0.075"/>
        <n v="0.05"/>
        <n v="0.105"/>
        <n v="0.07"/>
        <n v="0.04"/>
        <n v="0.108"/>
        <n v="0.0625090909090909"/>
        <n v="0.0875"/>
        <n v="0.08750666666666666"/>
      </sharedItems>
    </cacheField>
    <cacheField name="Conversion_Rate" numFmtId="9">
      <sharedItems containsSemiMixedTypes="0" containsString="0" containsNumber="1">
        <n v="0.10014814814814815"/>
        <n v="0.0752"/>
        <n v="0.12"/>
        <n v="0.07"/>
        <n v="0.1"/>
        <n v="0.08"/>
        <n v="0.07006802721088436"/>
        <n v="0.1198559670781893"/>
        <n v="0.09"/>
        <n v="0.07998836532867946"/>
        <n v="0.06992481203007518"/>
        <n v="0.07012987012987013"/>
        <n v="0.10008163265306122"/>
        <n v="0.11001066585403017"/>
        <n v="0.11"/>
        <n v="0.08984615384615384"/>
        <n v="0.09004926108374384"/>
      </sharedItems>
    </cacheField>
    <cacheField name="Revenue_Per_Email" numFmtId="165">
      <sharedItems containsSemiMixedTypes="0" containsString="0" containsNumber="1">
        <n v="0.7511111111111111"/>
        <n v="0.376"/>
        <n v="2.52"/>
        <n v="0.49"/>
        <n v="0.7"/>
        <n v="0.8"/>
        <n v="0.28"/>
        <n v="0.49047619047619045"/>
        <n v="2.588888888888889"/>
        <n v="1.35"/>
        <n v="1.0"/>
        <n v="0.48947368421052634"/>
        <n v="1.5"/>
        <n v="0.4909090909090909"/>
        <n v="1.7514285714285713"/>
        <n v="1.9253333333333333"/>
        <n v="1.925"/>
        <n v="1.12"/>
        <n v="1.3476923076923077"/>
        <n v="1.5758620689655172"/>
      </sharedItems>
    </cacheField>
    <cacheField name="Revenue_Per_Conversion" numFmtId="165">
      <sharedItems containsSemiMixedTypes="0" containsString="0" containsNumber="1" containsInteger="1">
        <n v="100.0"/>
        <n v="200.0"/>
      </sharedItems>
    </cacheField>
    <cacheField name="Month" numFmtId="0">
      <sharedItems>
        <s v="May-2025"/>
        <s v="Dec-2025"/>
        <s v="Aug-2025"/>
        <s v="Sep-2025"/>
        <s v="Oct-2025"/>
        <s v="Nov-202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S21" sheet="Campaign_Analysis"/>
  </cacheSource>
  <cacheFields>
    <cacheField name="Campaign_ID" numFmtId="0">
      <sharedItems>
        <s v="CAMP_001"/>
        <s v="CAMP_002"/>
        <s v="CAMP_003"/>
        <s v="CAMP_004"/>
        <s v="CAMP_005"/>
        <s v="CAMP_006"/>
        <s v="CAMP_007"/>
        <s v="CAMP_008"/>
        <s v="CAMP_009"/>
        <s v="CAMP_010"/>
        <s v="CAMP_011"/>
        <s v="CAMP_012"/>
        <s v="CAMP_013"/>
        <s v="CAMP_014"/>
        <s v="CAMP_015"/>
        <s v="CAMP_016"/>
        <s v="CAMP_017"/>
        <s v="CAMP_018"/>
        <s v="CAMP_019"/>
        <s v="CAMP_020"/>
      </sharedItems>
    </cacheField>
    <cacheField name="Campaign_Name" numFmtId="0">
      <sharedItems>
        <s v="Summer Sale Launch"/>
        <s v="Product Newsletter"/>
        <s v="Flash Sale 24hrs"/>
        <s v="Welcome Series"/>
        <s v="Weekend Special"/>
        <s v="Product Launch"/>
        <s v="Re-engagement"/>
        <s v="Monthly Tips"/>
        <s v="VIP Exclusive"/>
        <s v="Fall Campaign"/>
        <s v="Flash Friday"/>
        <s v="Customer Stories"/>
        <s v="Halloween Sale"/>
        <s v="November Newsletter"/>
        <s v="Black Friday Preview"/>
        <s v="Black Friday"/>
        <s v="Cyber Monday"/>
        <s v="Holiday Gift Guide"/>
        <s v="Last Minute Gifts"/>
        <s v="Year End Sale"/>
      </sharedItems>
    </cacheField>
    <cacheField name="Send_Date" numFmtId="164">
      <sharedItems containsSemiMixedTypes="0" containsDate="1" containsString="0">
        <d v="2025-05-08T00:00:00Z"/>
        <d v="2025-12-08T00:00:00Z"/>
        <d v="2025-08-19T00:00:00Z"/>
        <d v="2025-08-26T00:00:00Z"/>
        <d v="2025-09-02T00:00:00Z"/>
        <d v="2025-09-09T00:00:00Z"/>
        <d v="2025-09-16T00:00:00Z"/>
        <d v="2025-09-23T00:00:00Z"/>
        <d v="2025-09-30T00:00:00Z"/>
        <d v="2025-10-07T00:00:00Z"/>
        <d v="2025-10-14T00:00:00Z"/>
        <d v="2025-10-21T00:00:00Z"/>
        <d v="2025-10-28T00:00:00Z"/>
        <d v="2025-11-04T00:00:00Z"/>
        <d v="2025-11-11T00:00:00Z"/>
        <d v="2025-11-25T00:00:00Z"/>
        <d v="2025-12-02T00:00:00Z"/>
        <d v="2025-12-09T00:00:00Z"/>
        <d v="2025-12-16T00:00:00Z"/>
        <d v="2025-12-30T00:00:00Z"/>
      </sharedItems>
    </cacheField>
    <cacheField name="Day_of_Week" numFmtId="0">
      <sharedItems>
        <s v="Tuesday"/>
      </sharedItems>
    </cacheField>
    <cacheField name="Segment" numFmtId="0">
      <sharedItems>
        <s v="Engaged Customers"/>
        <s v="New Subscribers"/>
        <s v="VIP Customers"/>
        <s v="All Subscribers"/>
        <s v="Inactive"/>
      </sharedItems>
    </cacheField>
    <cacheField name="Subject_Line_Type" numFmtId="0">
      <sharedItems>
        <s v="Discount Offer"/>
        <s v="Educational"/>
        <s v="Urgency"/>
        <s v="Welcome"/>
        <s v="Product Announcement"/>
        <s v="Win-back"/>
        <s v="Exclusive Offer"/>
      </sharedItems>
    </cacheField>
    <cacheField name="Emails_Sent" numFmtId="0">
      <sharedItems containsSemiMixedTypes="0" containsString="0" containsNumber="1" containsInteger="1">
        <n v="45000.0"/>
        <n v="25000.0"/>
        <n v="15000.0"/>
        <n v="30000.0"/>
        <n v="40000.0"/>
        <n v="60000.0"/>
        <n v="35000.0"/>
        <n v="42000.0"/>
        <n v="18000.0"/>
        <n v="48000.0"/>
        <n v="55000.0"/>
        <n v="38000.0"/>
        <n v="62000.0"/>
        <n v="44000.0"/>
        <n v="70000.0"/>
        <n v="75000.0"/>
        <n v="72000.0"/>
        <n v="50000.0"/>
        <n v="65000.0"/>
        <n v="58000.0"/>
      </sharedItems>
    </cacheField>
    <cacheField name="Opens" numFmtId="0">
      <sharedItems containsSemiMixedTypes="0" containsString="0" containsNumber="1" containsInteger="1">
        <n v="13500.0"/>
        <n v="6250.0"/>
        <n v="5250.0"/>
        <n v="10500.0"/>
        <n v="11200.0"/>
        <n v="15000.0"/>
        <n v="7000.0"/>
        <n v="14700.0"/>
        <n v="6480.0"/>
        <n v="14400.0"/>
        <n v="13750.0"/>
        <n v="13300.0"/>
        <n v="18600.0"/>
        <n v="15400.0"/>
        <n v="24500.0"/>
        <n v="26250.0"/>
        <n v="25200.0"/>
        <n v="17500.0"/>
        <n v="19500.0"/>
        <n v="20300.0"/>
      </sharedItems>
    </cacheField>
    <cacheField name="Clicks" numFmtId="0">
      <sharedItems containsSemiMixedTypes="0" containsString="0" containsNumber="1" containsInteger="1">
        <n v="3375.0"/>
        <n v="1250.0"/>
        <n v="1575.0"/>
        <n v="2100.0"/>
        <n v="2800.0"/>
        <n v="3000.0"/>
        <n v="1400.0"/>
        <n v="2940.0"/>
        <n v="1944.0"/>
        <n v="3600.0"/>
        <n v="3438.0"/>
        <n v="2660.0"/>
        <n v="4650.0"/>
        <n v="3080.0"/>
        <n v="6125.0"/>
        <n v="6563.0"/>
        <n v="6300.0"/>
        <n v="3500.0"/>
        <n v="4875.0"/>
        <n v="5075.0"/>
      </sharedItems>
    </cacheField>
    <cacheField name="Bounces" numFmtId="0">
      <sharedItems containsSemiMixedTypes="0" containsString="0" containsNumber="1" containsInteger="1">
        <n v="450.0"/>
        <n v="250.0"/>
        <n v="150.0"/>
        <n v="300.0"/>
        <n v="400.0"/>
        <n v="600.0"/>
        <n v="350.0"/>
        <n v="420.0"/>
        <n v="180.0"/>
        <n v="480.0"/>
        <n v="550.0"/>
        <n v="380.0"/>
        <n v="620.0"/>
        <n v="440.0"/>
        <n v="700.0"/>
        <n v="750.0"/>
        <n v="720.0"/>
        <n v="500.0"/>
        <n v="650.0"/>
        <n v="580.0"/>
      </sharedItems>
    </cacheField>
    <cacheField name="Unsubscribes" numFmtId="0">
      <sharedItems containsSemiMixedTypes="0" containsString="0" containsNumber="1" containsInteger="1">
        <n v="90.0"/>
        <n v="50.0"/>
        <n v="30.0"/>
        <n v="60.0"/>
        <n v="80.0"/>
        <n v="120.0"/>
        <n v="175.0"/>
        <n v="84.0"/>
        <n v="36.0"/>
        <n v="96.0"/>
        <n v="110.0"/>
        <n v="76.0"/>
        <n v="124.0"/>
        <n v="88.0"/>
        <n v="140.0"/>
        <n v="150.0"/>
        <n v="144.0"/>
        <n v="100.0"/>
        <n v="130.0"/>
        <n v="116.0"/>
      </sharedItems>
    </cacheField>
    <cacheField name="Conversions" numFmtId="0">
      <sharedItems containsSemiMixedTypes="0" containsString="0" containsNumber="1" containsInteger="1">
        <n v="338.0"/>
        <n v="94.0"/>
        <n v="189.0"/>
        <n v="147.0"/>
        <n v="280.0"/>
        <n v="240.0"/>
        <n v="98.0"/>
        <n v="206.0"/>
        <n v="233.0"/>
        <n v="324.0"/>
        <n v="275.0"/>
        <n v="186.0"/>
        <n v="465.0"/>
        <n v="216.0"/>
        <n v="613.0"/>
        <n v="722.0"/>
        <n v="693.0"/>
        <n v="438.0"/>
        <n v="457.0"/>
      </sharedItems>
    </cacheField>
    <cacheField name="Revenue" numFmtId="0">
      <sharedItems containsSemiMixedTypes="0" containsString="0" containsNumber="1" containsInteger="1">
        <n v="33800.0"/>
        <n v="9400.0"/>
        <n v="37800.0"/>
        <n v="14700.0"/>
        <n v="28000.0"/>
        <n v="48000.0"/>
        <n v="9800.0"/>
        <n v="20600.0"/>
        <n v="46600.0"/>
        <n v="64800.0"/>
        <n v="55000.0"/>
        <n v="18600.0"/>
        <n v="93000.0"/>
        <n v="21600.0"/>
        <n v="122600.0"/>
        <n v="144400.0"/>
        <n v="138600.0"/>
        <n v="56000.0"/>
        <n v="87600.0"/>
        <n v="91400.0"/>
      </sharedItems>
    </cacheField>
    <cacheField name="Open_Rate" numFmtId="9">
      <sharedItems containsSemiMixedTypes="0" containsString="0" containsNumber="1">
        <n v="0.3"/>
        <n v="0.25"/>
        <n v="0.35"/>
        <n v="0.28"/>
        <n v="0.2"/>
        <n v="0.36"/>
      </sharedItems>
    </cacheField>
    <cacheField name="CTR" numFmtId="9">
      <sharedItems containsSemiMixedTypes="0" containsString="0" containsNumber="1">
        <n v="0.25"/>
        <n v="0.2"/>
        <n v="0.3"/>
        <n v="0.2500363636363636"/>
        <n v="0.25001904761904764"/>
      </sharedItems>
    </cacheField>
    <cacheField name="Click_to_Open" numFmtId="9">
      <sharedItems containsSemiMixedTypes="0" containsString="0" containsNumber="1">
        <n v="0.075"/>
        <n v="0.05"/>
        <n v="0.105"/>
        <n v="0.07"/>
        <n v="0.04"/>
        <n v="0.108"/>
        <n v="0.0625090909090909"/>
        <n v="0.0875"/>
        <n v="0.08750666666666666"/>
      </sharedItems>
    </cacheField>
    <cacheField name="Conversion_Rate" numFmtId="9">
      <sharedItems containsSemiMixedTypes="0" containsString="0" containsNumber="1">
        <n v="0.10014814814814815"/>
        <n v="0.0752"/>
        <n v="0.12"/>
        <n v="0.07"/>
        <n v="0.1"/>
        <n v="0.08"/>
        <n v="0.07006802721088436"/>
        <n v="0.1198559670781893"/>
        <n v="0.09"/>
        <n v="0.07998836532867946"/>
        <n v="0.06992481203007518"/>
        <n v="0.07012987012987013"/>
        <n v="0.10008163265306122"/>
        <n v="0.11001066585403017"/>
        <n v="0.11"/>
        <n v="0.08984615384615384"/>
        <n v="0.09004926108374384"/>
      </sharedItems>
    </cacheField>
    <cacheField name="Revenue_Per_Email" numFmtId="165">
      <sharedItems containsSemiMixedTypes="0" containsString="0" containsNumber="1">
        <n v="0.7511111111111111"/>
        <n v="0.376"/>
        <n v="2.52"/>
        <n v="0.49"/>
        <n v="0.7"/>
        <n v="0.8"/>
        <n v="0.28"/>
        <n v="0.49047619047619045"/>
        <n v="2.588888888888889"/>
        <n v="1.35"/>
        <n v="1.0"/>
        <n v="0.48947368421052634"/>
        <n v="1.5"/>
        <n v="0.4909090909090909"/>
        <n v="1.7514285714285713"/>
        <n v="1.9253333333333333"/>
        <n v="1.925"/>
        <n v="1.12"/>
        <n v="1.3476923076923077"/>
        <n v="1.5758620689655172"/>
      </sharedItems>
    </cacheField>
    <cacheField name="Revenue_Per_Conversion" numFmtId="165">
      <sharedItems containsSemiMixedTypes="0" containsString="0" containsNumber="1" containsInteger="1">
        <n v="100.0"/>
        <n v="20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Monthly_Trends" cacheId="0" dataCaption="" compact="0" compactData="0">
  <location ref="A1:F8" firstHeaderRow="0" firstDataRow="2" firstDataCol="0"/>
  <pivotFields>
    <pivotField name="Campaign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mpaign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Send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Day_of_Week" compact="0" outline="0" multipleItemSelectionAllowed="1" showAll="0">
      <items>
        <item x="0"/>
        <item t="default"/>
      </items>
    </pivotField>
    <pivotField name="Segment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ubject_Line_Typ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mails_Se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lic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Bou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Unsubscrib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nversio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_Rate" dataField="1" compact="0" numFmtId="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TR" dataField="1" compact="0" numFmtId="9" outline="0" multipleItemSelectionAllowed="1" showAll="0">
      <items>
        <item x="0"/>
        <item x="1"/>
        <item x="2"/>
        <item x="3"/>
        <item x="4"/>
        <item t="default"/>
      </items>
    </pivotField>
    <pivotField name="Click_to_Open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version_Rate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evenue_Per_Emai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Revenue_Per_Conversion" compact="0" numFmtId="165" outline="0" multipleItemSelectionAllowed="1" showAll="0">
      <items>
        <item x="0"/>
        <item x="1"/>
        <item t="default"/>
      </items>
    </pivotField>
    <pivotField name="Month" axis="axisRow" compact="0" outline="0" multipleItemSelectionAllowed="1" showAll="0" sortType="descending">
      <items>
        <item x="3"/>
        <item x="4"/>
        <item x="5"/>
        <item x="0"/>
        <item x="1"/>
        <item x="2"/>
        <item t="default"/>
      </items>
    </pivotField>
  </pivotFields>
  <rowFields>
    <field x="19"/>
  </rowFields>
  <colFields>
    <field x="-2"/>
  </colFields>
  <dataFields>
    <dataField name="Campaigns_Sent" fld="0" subtotal="count" baseField="0"/>
    <dataField name="Total_Emails_Sent" fld="6" baseField="0"/>
    <dataField name="Total_Revenue" fld="12" baseField="0"/>
    <dataField name="Avg_Open_Rate" fld="13" subtotal="average" baseField="0"/>
    <dataField name="Avg_CTR" fld="14" subtotal="average" baseField="0"/>
  </dataFields>
</pivotTableDefinition>
</file>

<file path=xl/pivotTables/pivotTable2.xml><?xml version="1.0" encoding="utf-8"?>
<pivotTableDefinition xmlns="http://schemas.openxmlformats.org/spreadsheetml/2006/main" name="Subject_Line_Analysis" cacheId="1" dataCaption="" compact="0" compactData="0">
  <location ref="A1:G9" firstHeaderRow="0" firstDataRow="2" firstDataCol="0"/>
  <pivotFields>
    <pivotField name="Campaign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mpaign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Send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Day_of_Week" compact="0" outline="0" multipleItemSelectionAllowed="1" showAll="0">
      <items>
        <item x="0"/>
        <item t="default"/>
      </items>
    </pivotField>
    <pivotField name="Segment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ubject_Line_Typ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Emails_Se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lic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Bou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Unsubscrib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nversio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_Rate" dataField="1" compact="0" numFmtId="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TR" dataField="1" compact="0" numFmtId="9" outline="0" multipleItemSelectionAllowed="1" showAll="0">
      <items>
        <item x="0"/>
        <item x="1"/>
        <item x="2"/>
        <item x="3"/>
        <item x="4"/>
        <item t="default"/>
      </items>
    </pivotField>
    <pivotField name="Click_to_Open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version_Rate" dataField="1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evenue_Per_Email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Revenue_Per_Conversion" compact="0" numFmtId="165" outline="0" multipleItemSelectionAllowed="1" showAll="0">
      <items>
        <item x="0"/>
        <item x="1"/>
        <item t="default"/>
      </items>
    </pivotField>
  </pivotFields>
  <rowFields>
    <field x="5"/>
  </rowFields>
  <colFields>
    <field x="-2"/>
  </colFields>
  <dataFields>
    <dataField name="Campaign_Count" fld="0" subtotal="count" baseField="0"/>
    <dataField name="Avg_Open_Rate" fld="13" subtotal="average" baseField="0"/>
    <dataField name="Avg_CTR" fld="14" subtotal="average" baseField="0"/>
    <dataField name="Avg_Conversion_Rate" fld="16" subtotal="average" baseField="0"/>
    <dataField name="Total_Revenue" fld="12" baseField="0"/>
    <dataField name="Avg_Revenue_Per_Email" fld="17" subtotal="average" baseField="0"/>
  </dataFields>
</pivotTableDefinition>
</file>

<file path=xl/pivotTables/pivotTable3.xml><?xml version="1.0" encoding="utf-8"?>
<pivotTableDefinition xmlns="http://schemas.openxmlformats.org/spreadsheetml/2006/main" name="Segment_Analysis" cacheId="1" dataCaption="" compact="0" compactData="0">
  <location ref="A1:F7" firstHeaderRow="0" firstDataRow="2" firstDataCol="0"/>
  <pivotFields>
    <pivotField name="Campaign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mpaign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Send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Day_of_Week" compact="0" outline="0" multipleItemSelectionAllowed="1" showAll="0">
      <items>
        <item x="0"/>
        <item t="default"/>
      </items>
    </pivotField>
    <pivotField name="Segment" axis="axisRow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3"/>
            </reference>
          </references>
        </pivotArea>
      </autoSortScope>
    </pivotField>
    <pivotField name="Subject_Line_Typ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mails_Se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lic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Bounc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Unsubscrib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nversio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Open_Rate" dataField="1" compact="0" numFmtId="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TR" dataField="1" compact="0" numFmtId="9" outline="0" multipleItemSelectionAllowed="1" showAll="0">
      <items>
        <item x="0"/>
        <item x="1"/>
        <item x="2"/>
        <item x="3"/>
        <item x="4"/>
        <item t="default"/>
      </items>
    </pivotField>
    <pivotField name="Click_to_Open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nversion_Rate" dataField="1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evenue_Per_Email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Revenue_Per_Conversion" compact="0" numFmtId="165" outline="0" multipleItemSelectionAllowed="1" showAll="0">
      <items>
        <item x="0"/>
        <item x="1"/>
        <item t="default"/>
      </items>
    </pivotField>
  </pivotFields>
  <rowFields>
    <field x="4"/>
  </rowFields>
  <colFields>
    <field x="-2"/>
  </colFields>
  <dataFields>
    <dataField name="Total_Campaigns" fld="0" subtotal="count" baseField="0"/>
    <dataField name="Avg_Open_Rate" fld="13" subtotal="average" baseField="0"/>
    <dataField name="AVERAGE of CTR" fld="14" subtotal="average" baseField="0"/>
    <dataField name="SUM of Revenue" fld="12" baseField="0"/>
    <dataField name="AVERAGE of Conversion_Rate" fld="16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0"/>
    <col customWidth="1" min="5" max="5" width="16.25"/>
    <col customWidth="1" min="6" max="6" width="18.38"/>
    <col customWidth="1" min="19" max="19" width="20.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1"/>
      <c r="V1" s="1"/>
      <c r="W1" s="1"/>
      <c r="X1" s="1"/>
      <c r="Y1" s="1"/>
      <c r="Z1" s="1"/>
    </row>
    <row r="2">
      <c r="A2" s="1" t="s">
        <v>20</v>
      </c>
      <c r="B2" s="1" t="s">
        <v>21</v>
      </c>
      <c r="C2" s="2">
        <v>45785.0</v>
      </c>
      <c r="D2" s="1" t="s">
        <v>22</v>
      </c>
      <c r="E2" s="1" t="s">
        <v>23</v>
      </c>
      <c r="F2" s="1" t="s">
        <v>24</v>
      </c>
      <c r="G2" s="5">
        <v>45000.0</v>
      </c>
      <c r="H2" s="5">
        <v>13500.0</v>
      </c>
      <c r="I2" s="5">
        <v>3375.0</v>
      </c>
      <c r="J2" s="5">
        <v>450.0</v>
      </c>
      <c r="K2" s="5">
        <v>90.0</v>
      </c>
      <c r="L2" s="5">
        <v>338.0</v>
      </c>
      <c r="M2" s="5">
        <v>33800.0</v>
      </c>
      <c r="N2" s="6">
        <f t="shared" ref="N2:O2" si="1">(H2/G2)</f>
        <v>0.3</v>
      </c>
      <c r="O2" s="6">
        <f t="shared" si="1"/>
        <v>0.25</v>
      </c>
      <c r="P2" s="6">
        <f t="shared" ref="P2:P21" si="3">(I2/G2)</f>
        <v>0.075</v>
      </c>
      <c r="Q2" s="6">
        <f t="shared" ref="Q2:Q21" si="4">(L2/I2)</f>
        <v>0.1001481481</v>
      </c>
      <c r="R2" s="7">
        <f t="shared" ref="R2:R21" si="5">M2/G2</f>
        <v>0.7511111111</v>
      </c>
      <c r="S2" s="7">
        <f t="shared" ref="S2:S21" si="6">M2/L2</f>
        <v>100</v>
      </c>
      <c r="T2" s="1" t="str">
        <f t="shared" ref="T2:T21" si="7">TEXT(C2,"MMM-YYYY")</f>
        <v>May-2025</v>
      </c>
      <c r="U2" s="1"/>
      <c r="V2" s="1"/>
      <c r="W2" s="1"/>
      <c r="X2" s="1"/>
      <c r="Y2" s="1"/>
      <c r="Z2" s="1"/>
    </row>
    <row r="3">
      <c r="A3" s="1" t="s">
        <v>25</v>
      </c>
      <c r="B3" s="1" t="s">
        <v>26</v>
      </c>
      <c r="C3" s="2">
        <v>45999.0</v>
      </c>
      <c r="D3" s="1" t="s">
        <v>22</v>
      </c>
      <c r="E3" s="1" t="s">
        <v>27</v>
      </c>
      <c r="F3" s="1" t="s">
        <v>28</v>
      </c>
      <c r="G3" s="5">
        <v>25000.0</v>
      </c>
      <c r="H3" s="5">
        <v>6250.0</v>
      </c>
      <c r="I3" s="5">
        <v>1250.0</v>
      </c>
      <c r="J3" s="5">
        <v>250.0</v>
      </c>
      <c r="K3" s="5">
        <v>50.0</v>
      </c>
      <c r="L3" s="5">
        <v>94.0</v>
      </c>
      <c r="M3" s="5">
        <v>9400.0</v>
      </c>
      <c r="N3" s="6">
        <f t="shared" ref="N3:O3" si="2">(H3/G3)</f>
        <v>0.25</v>
      </c>
      <c r="O3" s="6">
        <f t="shared" si="2"/>
        <v>0.2</v>
      </c>
      <c r="P3" s="6">
        <f t="shared" si="3"/>
        <v>0.05</v>
      </c>
      <c r="Q3" s="6">
        <f t="shared" si="4"/>
        <v>0.0752</v>
      </c>
      <c r="R3" s="7">
        <f t="shared" si="5"/>
        <v>0.376</v>
      </c>
      <c r="S3" s="7">
        <f t="shared" si="6"/>
        <v>100</v>
      </c>
      <c r="T3" s="1" t="str">
        <f t="shared" si="7"/>
        <v>Dec-2025</v>
      </c>
      <c r="U3" s="1"/>
      <c r="V3" s="1"/>
      <c r="W3" s="1"/>
      <c r="X3" s="1"/>
      <c r="Y3" s="1"/>
      <c r="Z3" s="1"/>
    </row>
    <row r="4">
      <c r="A4" s="1" t="s">
        <v>29</v>
      </c>
      <c r="B4" s="1" t="s">
        <v>30</v>
      </c>
      <c r="C4" s="2">
        <v>45888.0</v>
      </c>
      <c r="D4" s="1" t="s">
        <v>22</v>
      </c>
      <c r="E4" s="1" t="s">
        <v>31</v>
      </c>
      <c r="F4" s="1" t="s">
        <v>32</v>
      </c>
      <c r="G4" s="5">
        <v>15000.0</v>
      </c>
      <c r="H4" s="5">
        <v>5250.0</v>
      </c>
      <c r="I4" s="5">
        <v>1575.0</v>
      </c>
      <c r="J4" s="5">
        <v>150.0</v>
      </c>
      <c r="K4" s="5">
        <v>30.0</v>
      </c>
      <c r="L4" s="5">
        <v>189.0</v>
      </c>
      <c r="M4" s="5">
        <v>37800.0</v>
      </c>
      <c r="N4" s="6">
        <f t="shared" ref="N4:O4" si="8">(H4/G4)</f>
        <v>0.35</v>
      </c>
      <c r="O4" s="6">
        <f t="shared" si="8"/>
        <v>0.3</v>
      </c>
      <c r="P4" s="6">
        <f t="shared" si="3"/>
        <v>0.105</v>
      </c>
      <c r="Q4" s="6">
        <f t="shared" si="4"/>
        <v>0.12</v>
      </c>
      <c r="R4" s="7">
        <f t="shared" si="5"/>
        <v>2.52</v>
      </c>
      <c r="S4" s="7">
        <f t="shared" si="6"/>
        <v>200</v>
      </c>
      <c r="T4" s="1" t="str">
        <f t="shared" si="7"/>
        <v>Aug-2025</v>
      </c>
      <c r="U4" s="1"/>
      <c r="V4" s="1"/>
      <c r="W4" s="1"/>
      <c r="X4" s="1"/>
      <c r="Y4" s="1"/>
      <c r="Z4" s="1"/>
    </row>
    <row r="5">
      <c r="A5" s="1" t="s">
        <v>33</v>
      </c>
      <c r="B5" s="1" t="s">
        <v>34</v>
      </c>
      <c r="C5" s="2">
        <v>45895.0</v>
      </c>
      <c r="D5" s="1" t="s">
        <v>22</v>
      </c>
      <c r="E5" s="1" t="s">
        <v>27</v>
      </c>
      <c r="F5" s="1" t="s">
        <v>35</v>
      </c>
      <c r="G5" s="5">
        <v>30000.0</v>
      </c>
      <c r="H5" s="5">
        <v>10500.0</v>
      </c>
      <c r="I5" s="5">
        <v>2100.0</v>
      </c>
      <c r="J5" s="5">
        <v>300.0</v>
      </c>
      <c r="K5" s="5">
        <v>60.0</v>
      </c>
      <c r="L5" s="5">
        <v>147.0</v>
      </c>
      <c r="M5" s="5">
        <v>14700.0</v>
      </c>
      <c r="N5" s="6">
        <f t="shared" ref="N5:O5" si="9">(H5/G5)</f>
        <v>0.35</v>
      </c>
      <c r="O5" s="6">
        <f t="shared" si="9"/>
        <v>0.2</v>
      </c>
      <c r="P5" s="6">
        <f t="shared" si="3"/>
        <v>0.07</v>
      </c>
      <c r="Q5" s="6">
        <f t="shared" si="4"/>
        <v>0.07</v>
      </c>
      <c r="R5" s="7">
        <f t="shared" si="5"/>
        <v>0.49</v>
      </c>
      <c r="S5" s="7">
        <f t="shared" si="6"/>
        <v>100</v>
      </c>
      <c r="T5" s="1" t="str">
        <f t="shared" si="7"/>
        <v>Aug-2025</v>
      </c>
      <c r="U5" s="1"/>
      <c r="V5" s="1"/>
      <c r="W5" s="1"/>
      <c r="X5" s="1"/>
      <c r="Y5" s="1"/>
      <c r="Z5" s="1"/>
    </row>
    <row r="6">
      <c r="A6" s="1" t="s">
        <v>36</v>
      </c>
      <c r="B6" s="1" t="s">
        <v>37</v>
      </c>
      <c r="C6" s="8">
        <v>45902.0</v>
      </c>
      <c r="D6" s="1" t="s">
        <v>22</v>
      </c>
      <c r="E6" s="1" t="s">
        <v>23</v>
      </c>
      <c r="F6" s="1" t="s">
        <v>24</v>
      </c>
      <c r="G6" s="5">
        <v>40000.0</v>
      </c>
      <c r="H6" s="5">
        <v>11200.0</v>
      </c>
      <c r="I6" s="5">
        <v>2800.0</v>
      </c>
      <c r="J6" s="5">
        <v>400.0</v>
      </c>
      <c r="K6" s="5">
        <v>80.0</v>
      </c>
      <c r="L6" s="5">
        <v>280.0</v>
      </c>
      <c r="M6" s="5">
        <v>28000.0</v>
      </c>
      <c r="N6" s="6">
        <f t="shared" ref="N6:O6" si="10">(H6/G6)</f>
        <v>0.28</v>
      </c>
      <c r="O6" s="6">
        <f t="shared" si="10"/>
        <v>0.25</v>
      </c>
      <c r="P6" s="6">
        <f t="shared" si="3"/>
        <v>0.07</v>
      </c>
      <c r="Q6" s="6">
        <f t="shared" si="4"/>
        <v>0.1</v>
      </c>
      <c r="R6" s="7">
        <f t="shared" si="5"/>
        <v>0.7</v>
      </c>
      <c r="S6" s="7">
        <f t="shared" si="6"/>
        <v>100</v>
      </c>
      <c r="T6" s="1" t="str">
        <f t="shared" si="7"/>
        <v>Sep-2025</v>
      </c>
      <c r="U6" s="1"/>
      <c r="V6" s="1"/>
      <c r="W6" s="1"/>
      <c r="X6" s="1"/>
      <c r="Y6" s="1"/>
      <c r="Z6" s="1"/>
    </row>
    <row r="7">
      <c r="A7" s="1" t="s">
        <v>38</v>
      </c>
      <c r="B7" s="1" t="s">
        <v>39</v>
      </c>
      <c r="C7" s="2">
        <v>45909.0</v>
      </c>
      <c r="D7" s="1" t="s">
        <v>22</v>
      </c>
      <c r="E7" s="1" t="s">
        <v>40</v>
      </c>
      <c r="F7" s="1" t="s">
        <v>41</v>
      </c>
      <c r="G7" s="5">
        <v>60000.0</v>
      </c>
      <c r="H7" s="5">
        <v>15000.0</v>
      </c>
      <c r="I7" s="5">
        <v>3000.0</v>
      </c>
      <c r="J7" s="5">
        <v>600.0</v>
      </c>
      <c r="K7" s="5">
        <v>120.0</v>
      </c>
      <c r="L7" s="5">
        <v>240.0</v>
      </c>
      <c r="M7" s="5">
        <v>48000.0</v>
      </c>
      <c r="N7" s="6">
        <f t="shared" ref="N7:O7" si="11">(H7/G7)</f>
        <v>0.25</v>
      </c>
      <c r="O7" s="6">
        <f t="shared" si="11"/>
        <v>0.2</v>
      </c>
      <c r="P7" s="6">
        <f t="shared" si="3"/>
        <v>0.05</v>
      </c>
      <c r="Q7" s="6">
        <f t="shared" si="4"/>
        <v>0.08</v>
      </c>
      <c r="R7" s="7">
        <f t="shared" si="5"/>
        <v>0.8</v>
      </c>
      <c r="S7" s="7">
        <f t="shared" si="6"/>
        <v>200</v>
      </c>
      <c r="T7" s="1" t="str">
        <f t="shared" si="7"/>
        <v>Sep-2025</v>
      </c>
      <c r="U7" s="1"/>
      <c r="V7" s="1"/>
      <c r="W7" s="1"/>
      <c r="X7" s="1"/>
      <c r="Y7" s="1"/>
      <c r="Z7" s="1"/>
    </row>
    <row r="8">
      <c r="A8" s="1" t="s">
        <v>42</v>
      </c>
      <c r="B8" s="1" t="s">
        <v>43</v>
      </c>
      <c r="C8" s="2">
        <v>45916.0</v>
      </c>
      <c r="D8" s="1" t="s">
        <v>22</v>
      </c>
      <c r="E8" s="1" t="s">
        <v>44</v>
      </c>
      <c r="F8" s="1" t="s">
        <v>45</v>
      </c>
      <c r="G8" s="5">
        <v>35000.0</v>
      </c>
      <c r="H8" s="5">
        <v>7000.0</v>
      </c>
      <c r="I8" s="5">
        <v>1400.0</v>
      </c>
      <c r="J8" s="5">
        <v>350.0</v>
      </c>
      <c r="K8" s="5">
        <v>175.0</v>
      </c>
      <c r="L8" s="5">
        <v>98.0</v>
      </c>
      <c r="M8" s="5">
        <v>9800.0</v>
      </c>
      <c r="N8" s="6">
        <f t="shared" ref="N8:O8" si="12">(H8/G8)</f>
        <v>0.2</v>
      </c>
      <c r="O8" s="6">
        <f t="shared" si="12"/>
        <v>0.2</v>
      </c>
      <c r="P8" s="6">
        <f t="shared" si="3"/>
        <v>0.04</v>
      </c>
      <c r="Q8" s="6">
        <f t="shared" si="4"/>
        <v>0.07</v>
      </c>
      <c r="R8" s="7">
        <f t="shared" si="5"/>
        <v>0.28</v>
      </c>
      <c r="S8" s="7">
        <f t="shared" si="6"/>
        <v>100</v>
      </c>
      <c r="T8" s="1" t="str">
        <f t="shared" si="7"/>
        <v>Sep-2025</v>
      </c>
      <c r="U8" s="1"/>
      <c r="V8" s="1"/>
      <c r="W8" s="1"/>
      <c r="X8" s="1"/>
      <c r="Y8" s="1"/>
      <c r="Z8" s="1"/>
    </row>
    <row r="9">
      <c r="A9" s="1" t="s">
        <v>46</v>
      </c>
      <c r="B9" s="1" t="s">
        <v>47</v>
      </c>
      <c r="C9" s="2">
        <v>45923.0</v>
      </c>
      <c r="D9" s="1" t="s">
        <v>22</v>
      </c>
      <c r="E9" s="1" t="s">
        <v>23</v>
      </c>
      <c r="F9" s="1" t="s">
        <v>28</v>
      </c>
      <c r="G9" s="5">
        <v>42000.0</v>
      </c>
      <c r="H9" s="5">
        <v>14700.0</v>
      </c>
      <c r="I9" s="5">
        <v>2940.0</v>
      </c>
      <c r="J9" s="5">
        <v>420.0</v>
      </c>
      <c r="K9" s="5">
        <v>84.0</v>
      </c>
      <c r="L9" s="5">
        <v>206.0</v>
      </c>
      <c r="M9" s="5">
        <v>20600.0</v>
      </c>
      <c r="N9" s="6">
        <f t="shared" ref="N9:O9" si="13">(H9/G9)</f>
        <v>0.35</v>
      </c>
      <c r="O9" s="6">
        <f t="shared" si="13"/>
        <v>0.2</v>
      </c>
      <c r="P9" s="6">
        <f t="shared" si="3"/>
        <v>0.07</v>
      </c>
      <c r="Q9" s="6">
        <f t="shared" si="4"/>
        <v>0.07006802721</v>
      </c>
      <c r="R9" s="7">
        <f t="shared" si="5"/>
        <v>0.4904761905</v>
      </c>
      <c r="S9" s="7">
        <f t="shared" si="6"/>
        <v>100</v>
      </c>
      <c r="T9" s="1" t="str">
        <f t="shared" si="7"/>
        <v>Sep-2025</v>
      </c>
      <c r="U9" s="1"/>
      <c r="V9" s="1"/>
      <c r="W9" s="1"/>
      <c r="X9" s="1"/>
      <c r="Y9" s="1"/>
      <c r="Z9" s="1"/>
    </row>
    <row r="10">
      <c r="A10" s="1" t="s">
        <v>48</v>
      </c>
      <c r="B10" s="1" t="s">
        <v>49</v>
      </c>
      <c r="C10" s="2">
        <v>45930.0</v>
      </c>
      <c r="D10" s="1" t="s">
        <v>22</v>
      </c>
      <c r="E10" s="1" t="s">
        <v>31</v>
      </c>
      <c r="F10" s="1" t="s">
        <v>50</v>
      </c>
      <c r="G10" s="5">
        <v>18000.0</v>
      </c>
      <c r="H10" s="5">
        <v>6480.0</v>
      </c>
      <c r="I10" s="5">
        <v>1944.0</v>
      </c>
      <c r="J10" s="5">
        <v>180.0</v>
      </c>
      <c r="K10" s="5">
        <v>36.0</v>
      </c>
      <c r="L10" s="5">
        <v>233.0</v>
      </c>
      <c r="M10" s="5">
        <v>46600.0</v>
      </c>
      <c r="N10" s="6">
        <f t="shared" ref="N10:O10" si="14">(H10/G10)</f>
        <v>0.36</v>
      </c>
      <c r="O10" s="6">
        <f t="shared" si="14"/>
        <v>0.3</v>
      </c>
      <c r="P10" s="6">
        <f t="shared" si="3"/>
        <v>0.108</v>
      </c>
      <c r="Q10" s="6">
        <f t="shared" si="4"/>
        <v>0.1198559671</v>
      </c>
      <c r="R10" s="7">
        <f t="shared" si="5"/>
        <v>2.588888889</v>
      </c>
      <c r="S10" s="7">
        <f t="shared" si="6"/>
        <v>200</v>
      </c>
      <c r="T10" s="1" t="str">
        <f t="shared" si="7"/>
        <v>Sep-2025</v>
      </c>
      <c r="U10" s="1"/>
      <c r="V10" s="1"/>
      <c r="W10" s="1"/>
      <c r="X10" s="1"/>
      <c r="Y10" s="1"/>
      <c r="Z10" s="1"/>
    </row>
    <row r="11">
      <c r="A11" s="1" t="s">
        <v>51</v>
      </c>
      <c r="B11" s="9" t="s">
        <v>52</v>
      </c>
      <c r="C11" s="8">
        <v>45937.0</v>
      </c>
      <c r="D11" s="1" t="s">
        <v>22</v>
      </c>
      <c r="E11" s="1" t="s">
        <v>23</v>
      </c>
      <c r="F11" s="1" t="s">
        <v>41</v>
      </c>
      <c r="G11" s="5">
        <v>48000.0</v>
      </c>
      <c r="H11" s="5">
        <v>14400.0</v>
      </c>
      <c r="I11" s="5">
        <v>3600.0</v>
      </c>
      <c r="J11" s="5">
        <v>480.0</v>
      </c>
      <c r="K11" s="5">
        <v>96.0</v>
      </c>
      <c r="L11" s="5">
        <v>324.0</v>
      </c>
      <c r="M11" s="5">
        <v>64800.0</v>
      </c>
      <c r="N11" s="6">
        <f t="shared" ref="N11:O11" si="15">(H11/G11)</f>
        <v>0.3</v>
      </c>
      <c r="O11" s="6">
        <f t="shared" si="15"/>
        <v>0.25</v>
      </c>
      <c r="P11" s="6">
        <f t="shared" si="3"/>
        <v>0.075</v>
      </c>
      <c r="Q11" s="6">
        <f t="shared" si="4"/>
        <v>0.09</v>
      </c>
      <c r="R11" s="7">
        <f t="shared" si="5"/>
        <v>1.35</v>
      </c>
      <c r="S11" s="7">
        <f t="shared" si="6"/>
        <v>200</v>
      </c>
      <c r="T11" s="1" t="str">
        <f t="shared" si="7"/>
        <v>Oct-2025</v>
      </c>
      <c r="U11" s="1"/>
      <c r="V11" s="1"/>
      <c r="W11" s="1"/>
      <c r="X11" s="1"/>
      <c r="Y11" s="1"/>
      <c r="Z11" s="1"/>
    </row>
    <row r="12">
      <c r="A12" s="1" t="s">
        <v>53</v>
      </c>
      <c r="B12" s="1" t="s">
        <v>54</v>
      </c>
      <c r="C12" s="2">
        <v>45944.0</v>
      </c>
      <c r="D12" s="1" t="s">
        <v>22</v>
      </c>
      <c r="E12" s="1" t="s">
        <v>40</v>
      </c>
      <c r="F12" s="1" t="s">
        <v>32</v>
      </c>
      <c r="G12" s="5">
        <v>55000.0</v>
      </c>
      <c r="H12" s="5">
        <v>13750.0</v>
      </c>
      <c r="I12" s="5">
        <v>3438.0</v>
      </c>
      <c r="J12" s="5">
        <v>550.0</v>
      </c>
      <c r="K12" s="5">
        <v>110.0</v>
      </c>
      <c r="L12" s="5">
        <v>275.0</v>
      </c>
      <c r="M12" s="5">
        <v>55000.0</v>
      </c>
      <c r="N12" s="6">
        <f t="shared" ref="N12:O12" si="16">(H12/G12)</f>
        <v>0.25</v>
      </c>
      <c r="O12" s="6">
        <f t="shared" si="16"/>
        <v>0.2500363636</v>
      </c>
      <c r="P12" s="6">
        <f t="shared" si="3"/>
        <v>0.06250909091</v>
      </c>
      <c r="Q12" s="6">
        <f t="shared" si="4"/>
        <v>0.07998836533</v>
      </c>
      <c r="R12" s="7">
        <f t="shared" si="5"/>
        <v>1</v>
      </c>
      <c r="S12" s="7">
        <f t="shared" si="6"/>
        <v>200</v>
      </c>
      <c r="T12" s="1" t="str">
        <f t="shared" si="7"/>
        <v>Oct-2025</v>
      </c>
      <c r="U12" s="1"/>
      <c r="V12" s="1"/>
      <c r="W12" s="1"/>
      <c r="X12" s="1"/>
      <c r="Y12" s="1"/>
      <c r="Z12" s="1"/>
    </row>
    <row r="13">
      <c r="A13" s="1" t="s">
        <v>55</v>
      </c>
      <c r="B13" s="1" t="s">
        <v>56</v>
      </c>
      <c r="C13" s="2">
        <v>45951.0</v>
      </c>
      <c r="D13" s="1" t="s">
        <v>22</v>
      </c>
      <c r="E13" s="1" t="s">
        <v>23</v>
      </c>
      <c r="F13" s="1" t="s">
        <v>28</v>
      </c>
      <c r="G13" s="5">
        <v>38000.0</v>
      </c>
      <c r="H13" s="5">
        <v>13300.0</v>
      </c>
      <c r="I13" s="5">
        <v>2660.0</v>
      </c>
      <c r="J13" s="5">
        <v>380.0</v>
      </c>
      <c r="K13" s="5">
        <v>76.0</v>
      </c>
      <c r="L13" s="5">
        <v>186.0</v>
      </c>
      <c r="M13" s="5">
        <v>18600.0</v>
      </c>
      <c r="N13" s="6">
        <f t="shared" ref="N13:O13" si="17">(H13/G13)</f>
        <v>0.35</v>
      </c>
      <c r="O13" s="6">
        <f t="shared" si="17"/>
        <v>0.2</v>
      </c>
      <c r="P13" s="6">
        <f t="shared" si="3"/>
        <v>0.07</v>
      </c>
      <c r="Q13" s="6">
        <f t="shared" si="4"/>
        <v>0.06992481203</v>
      </c>
      <c r="R13" s="7">
        <f t="shared" si="5"/>
        <v>0.4894736842</v>
      </c>
      <c r="S13" s="7">
        <f t="shared" si="6"/>
        <v>100</v>
      </c>
      <c r="T13" s="1" t="str">
        <f t="shared" si="7"/>
        <v>Oct-2025</v>
      </c>
      <c r="U13" s="1"/>
      <c r="V13" s="1"/>
      <c r="W13" s="1"/>
      <c r="X13" s="1"/>
      <c r="Y13" s="1"/>
      <c r="Z13" s="1"/>
    </row>
    <row r="14">
      <c r="A14" s="1" t="s">
        <v>57</v>
      </c>
      <c r="B14" s="1" t="s">
        <v>58</v>
      </c>
      <c r="C14" s="2">
        <v>45958.0</v>
      </c>
      <c r="D14" s="1" t="s">
        <v>22</v>
      </c>
      <c r="E14" s="1" t="s">
        <v>40</v>
      </c>
      <c r="F14" s="1" t="s">
        <v>24</v>
      </c>
      <c r="G14" s="5">
        <v>62000.0</v>
      </c>
      <c r="H14" s="5">
        <v>18600.0</v>
      </c>
      <c r="I14" s="5">
        <v>4650.0</v>
      </c>
      <c r="J14" s="5">
        <v>620.0</v>
      </c>
      <c r="K14" s="5">
        <v>124.0</v>
      </c>
      <c r="L14" s="5">
        <v>465.0</v>
      </c>
      <c r="M14" s="5">
        <v>93000.0</v>
      </c>
      <c r="N14" s="6">
        <f t="shared" ref="N14:O14" si="18">(H14/G14)</f>
        <v>0.3</v>
      </c>
      <c r="O14" s="6">
        <f t="shared" si="18"/>
        <v>0.25</v>
      </c>
      <c r="P14" s="6">
        <f t="shared" si="3"/>
        <v>0.075</v>
      </c>
      <c r="Q14" s="6">
        <f t="shared" si="4"/>
        <v>0.1</v>
      </c>
      <c r="R14" s="7">
        <f t="shared" si="5"/>
        <v>1.5</v>
      </c>
      <c r="S14" s="7">
        <f t="shared" si="6"/>
        <v>200</v>
      </c>
      <c r="T14" s="1" t="str">
        <f t="shared" si="7"/>
        <v>Oct-2025</v>
      </c>
      <c r="U14" s="1"/>
      <c r="V14" s="1"/>
      <c r="W14" s="1"/>
      <c r="X14" s="1"/>
      <c r="Y14" s="1"/>
      <c r="Z14" s="1"/>
    </row>
    <row r="15">
      <c r="A15" s="1" t="s">
        <v>59</v>
      </c>
      <c r="B15" s="1" t="s">
        <v>60</v>
      </c>
      <c r="C15" s="8">
        <v>45965.0</v>
      </c>
      <c r="D15" s="1" t="s">
        <v>22</v>
      </c>
      <c r="E15" s="1" t="s">
        <v>23</v>
      </c>
      <c r="F15" s="1" t="s">
        <v>28</v>
      </c>
      <c r="G15" s="5">
        <v>44000.0</v>
      </c>
      <c r="H15" s="5">
        <v>15400.0</v>
      </c>
      <c r="I15" s="5">
        <v>3080.0</v>
      </c>
      <c r="J15" s="5">
        <v>440.0</v>
      </c>
      <c r="K15" s="5">
        <v>88.0</v>
      </c>
      <c r="L15" s="5">
        <v>216.0</v>
      </c>
      <c r="M15" s="5">
        <v>21600.0</v>
      </c>
      <c r="N15" s="6">
        <f t="shared" ref="N15:O15" si="19">(H15/G15)</f>
        <v>0.35</v>
      </c>
      <c r="O15" s="6">
        <f t="shared" si="19"/>
        <v>0.2</v>
      </c>
      <c r="P15" s="6">
        <f t="shared" si="3"/>
        <v>0.07</v>
      </c>
      <c r="Q15" s="6">
        <f t="shared" si="4"/>
        <v>0.07012987013</v>
      </c>
      <c r="R15" s="7">
        <f t="shared" si="5"/>
        <v>0.4909090909</v>
      </c>
      <c r="S15" s="7">
        <f t="shared" si="6"/>
        <v>100</v>
      </c>
      <c r="T15" s="1" t="str">
        <f t="shared" si="7"/>
        <v>Nov-2025</v>
      </c>
      <c r="U15" s="1"/>
      <c r="V15" s="1"/>
      <c r="W15" s="1"/>
      <c r="X15" s="1"/>
      <c r="Y15" s="1"/>
      <c r="Z15" s="1"/>
    </row>
    <row r="16">
      <c r="A16" s="1" t="s">
        <v>61</v>
      </c>
      <c r="B16" s="1" t="s">
        <v>62</v>
      </c>
      <c r="C16" s="2">
        <v>45972.0</v>
      </c>
      <c r="D16" s="1" t="s">
        <v>22</v>
      </c>
      <c r="E16" s="1" t="s">
        <v>40</v>
      </c>
      <c r="F16" s="1" t="s">
        <v>32</v>
      </c>
      <c r="G16" s="5">
        <v>70000.0</v>
      </c>
      <c r="H16" s="5">
        <v>24500.0</v>
      </c>
      <c r="I16" s="5">
        <v>6125.0</v>
      </c>
      <c r="J16" s="5">
        <v>700.0</v>
      </c>
      <c r="K16" s="5">
        <v>140.0</v>
      </c>
      <c r="L16" s="5">
        <v>613.0</v>
      </c>
      <c r="M16" s="5">
        <v>122600.0</v>
      </c>
      <c r="N16" s="6">
        <f t="shared" ref="N16:O16" si="20">(H16/G16)</f>
        <v>0.35</v>
      </c>
      <c r="O16" s="6">
        <f t="shared" si="20"/>
        <v>0.25</v>
      </c>
      <c r="P16" s="6">
        <f t="shared" si="3"/>
        <v>0.0875</v>
      </c>
      <c r="Q16" s="6">
        <f t="shared" si="4"/>
        <v>0.1000816327</v>
      </c>
      <c r="R16" s="7">
        <f t="shared" si="5"/>
        <v>1.751428571</v>
      </c>
      <c r="S16" s="7">
        <f t="shared" si="6"/>
        <v>200</v>
      </c>
      <c r="T16" s="1" t="str">
        <f t="shared" si="7"/>
        <v>Nov-2025</v>
      </c>
      <c r="U16" s="1"/>
      <c r="V16" s="1"/>
      <c r="W16" s="1"/>
      <c r="X16" s="1"/>
      <c r="Y16" s="1"/>
      <c r="Z16" s="1"/>
    </row>
    <row r="17">
      <c r="A17" s="1" t="s">
        <v>63</v>
      </c>
      <c r="B17" s="1" t="s">
        <v>64</v>
      </c>
      <c r="C17" s="2">
        <v>45986.0</v>
      </c>
      <c r="D17" s="1" t="s">
        <v>22</v>
      </c>
      <c r="E17" s="1" t="s">
        <v>40</v>
      </c>
      <c r="F17" s="1" t="s">
        <v>24</v>
      </c>
      <c r="G17" s="5">
        <v>75000.0</v>
      </c>
      <c r="H17" s="5">
        <v>26250.0</v>
      </c>
      <c r="I17" s="5">
        <v>6563.0</v>
      </c>
      <c r="J17" s="5">
        <v>750.0</v>
      </c>
      <c r="K17" s="5">
        <v>150.0</v>
      </c>
      <c r="L17" s="5">
        <v>722.0</v>
      </c>
      <c r="M17" s="5">
        <v>144400.0</v>
      </c>
      <c r="N17" s="6">
        <f t="shared" ref="N17:O17" si="21">(H17/G17)</f>
        <v>0.35</v>
      </c>
      <c r="O17" s="6">
        <f t="shared" si="21"/>
        <v>0.2500190476</v>
      </c>
      <c r="P17" s="6">
        <f t="shared" si="3"/>
        <v>0.08750666667</v>
      </c>
      <c r="Q17" s="6">
        <f t="shared" si="4"/>
        <v>0.1100106659</v>
      </c>
      <c r="R17" s="7">
        <f t="shared" si="5"/>
        <v>1.925333333</v>
      </c>
      <c r="S17" s="7">
        <f t="shared" si="6"/>
        <v>200</v>
      </c>
      <c r="T17" s="1" t="str">
        <f t="shared" si="7"/>
        <v>Nov-2025</v>
      </c>
      <c r="U17" s="1"/>
      <c r="V17" s="1"/>
      <c r="W17" s="1"/>
      <c r="X17" s="1"/>
      <c r="Y17" s="1"/>
      <c r="Z17" s="1"/>
    </row>
    <row r="18">
      <c r="A18" s="1" t="s">
        <v>65</v>
      </c>
      <c r="B18" s="1" t="s">
        <v>66</v>
      </c>
      <c r="C18" s="8">
        <v>45993.0</v>
      </c>
      <c r="D18" s="1" t="s">
        <v>22</v>
      </c>
      <c r="E18" s="1" t="s">
        <v>40</v>
      </c>
      <c r="F18" s="1" t="s">
        <v>24</v>
      </c>
      <c r="G18" s="5">
        <v>72000.0</v>
      </c>
      <c r="H18" s="5">
        <v>25200.0</v>
      </c>
      <c r="I18" s="5">
        <v>6300.0</v>
      </c>
      <c r="J18" s="5">
        <v>720.0</v>
      </c>
      <c r="K18" s="5">
        <v>144.0</v>
      </c>
      <c r="L18" s="5">
        <v>693.0</v>
      </c>
      <c r="M18" s="5">
        <v>138600.0</v>
      </c>
      <c r="N18" s="6">
        <f t="shared" ref="N18:O18" si="22">(H18/G18)</f>
        <v>0.35</v>
      </c>
      <c r="O18" s="6">
        <f t="shared" si="22"/>
        <v>0.25</v>
      </c>
      <c r="P18" s="6">
        <f t="shared" si="3"/>
        <v>0.0875</v>
      </c>
      <c r="Q18" s="6">
        <f t="shared" si="4"/>
        <v>0.11</v>
      </c>
      <c r="R18" s="7">
        <f t="shared" si="5"/>
        <v>1.925</v>
      </c>
      <c r="S18" s="7">
        <f t="shared" si="6"/>
        <v>200</v>
      </c>
      <c r="T18" s="1" t="str">
        <f t="shared" si="7"/>
        <v>Dec-2025</v>
      </c>
      <c r="U18" s="1"/>
      <c r="V18" s="1"/>
      <c r="W18" s="1"/>
      <c r="X18" s="1"/>
      <c r="Y18" s="1"/>
      <c r="Z18" s="1"/>
    </row>
    <row r="19">
      <c r="A19" s="1" t="s">
        <v>67</v>
      </c>
      <c r="B19" s="1" t="s">
        <v>68</v>
      </c>
      <c r="C19" s="8">
        <v>46000.0</v>
      </c>
      <c r="D19" s="1" t="s">
        <v>22</v>
      </c>
      <c r="E19" s="1" t="s">
        <v>23</v>
      </c>
      <c r="F19" s="1" t="s">
        <v>28</v>
      </c>
      <c r="G19" s="5">
        <v>50000.0</v>
      </c>
      <c r="H19" s="5">
        <v>17500.0</v>
      </c>
      <c r="I19" s="5">
        <v>3500.0</v>
      </c>
      <c r="J19" s="5">
        <v>500.0</v>
      </c>
      <c r="K19" s="5">
        <v>100.0</v>
      </c>
      <c r="L19" s="5">
        <v>280.0</v>
      </c>
      <c r="M19" s="5">
        <v>56000.0</v>
      </c>
      <c r="N19" s="6">
        <f t="shared" ref="N19:O19" si="23">(H19/G19)</f>
        <v>0.35</v>
      </c>
      <c r="O19" s="6">
        <f t="shared" si="23"/>
        <v>0.2</v>
      </c>
      <c r="P19" s="6">
        <f t="shared" si="3"/>
        <v>0.07</v>
      </c>
      <c r="Q19" s="6">
        <f t="shared" si="4"/>
        <v>0.08</v>
      </c>
      <c r="R19" s="7">
        <f t="shared" si="5"/>
        <v>1.12</v>
      </c>
      <c r="S19" s="7">
        <f t="shared" si="6"/>
        <v>200</v>
      </c>
      <c r="T19" s="1" t="str">
        <f t="shared" si="7"/>
        <v>Dec-2025</v>
      </c>
      <c r="U19" s="1"/>
      <c r="V19" s="1"/>
      <c r="W19" s="1"/>
      <c r="X19" s="1"/>
      <c r="Y19" s="1"/>
      <c r="Z19" s="1"/>
    </row>
    <row r="20">
      <c r="A20" s="1" t="s">
        <v>69</v>
      </c>
      <c r="B20" s="1" t="s">
        <v>70</v>
      </c>
      <c r="C20" s="2">
        <v>46007.0</v>
      </c>
      <c r="D20" s="1" t="s">
        <v>22</v>
      </c>
      <c r="E20" s="1" t="s">
        <v>40</v>
      </c>
      <c r="F20" s="1" t="s">
        <v>32</v>
      </c>
      <c r="G20" s="5">
        <v>65000.0</v>
      </c>
      <c r="H20" s="5">
        <v>19500.0</v>
      </c>
      <c r="I20" s="5">
        <v>4875.0</v>
      </c>
      <c r="J20" s="5">
        <v>650.0</v>
      </c>
      <c r="K20" s="5">
        <v>130.0</v>
      </c>
      <c r="L20" s="5">
        <v>438.0</v>
      </c>
      <c r="M20" s="5">
        <v>87600.0</v>
      </c>
      <c r="N20" s="6">
        <f t="shared" ref="N20:O20" si="24">(H20/G20)</f>
        <v>0.3</v>
      </c>
      <c r="O20" s="6">
        <f t="shared" si="24"/>
        <v>0.25</v>
      </c>
      <c r="P20" s="6">
        <f t="shared" si="3"/>
        <v>0.075</v>
      </c>
      <c r="Q20" s="6">
        <f t="shared" si="4"/>
        <v>0.08984615385</v>
      </c>
      <c r="R20" s="7">
        <f t="shared" si="5"/>
        <v>1.347692308</v>
      </c>
      <c r="S20" s="7">
        <f t="shared" si="6"/>
        <v>200</v>
      </c>
      <c r="T20" s="1" t="str">
        <f t="shared" si="7"/>
        <v>Dec-2025</v>
      </c>
      <c r="U20" s="1"/>
      <c r="V20" s="1"/>
      <c r="W20" s="1"/>
      <c r="X20" s="1"/>
      <c r="Y20" s="1"/>
      <c r="Z20" s="1"/>
    </row>
    <row r="21">
      <c r="A21" s="1" t="s">
        <v>71</v>
      </c>
      <c r="B21" s="1" t="s">
        <v>72</v>
      </c>
      <c r="C21" s="2">
        <v>46021.0</v>
      </c>
      <c r="D21" s="1" t="s">
        <v>22</v>
      </c>
      <c r="E21" s="1" t="s">
        <v>23</v>
      </c>
      <c r="F21" s="1" t="s">
        <v>24</v>
      </c>
      <c r="G21" s="5">
        <v>58000.0</v>
      </c>
      <c r="H21" s="5">
        <v>20300.0</v>
      </c>
      <c r="I21" s="5">
        <v>5075.0</v>
      </c>
      <c r="J21" s="5">
        <v>580.0</v>
      </c>
      <c r="K21" s="5">
        <v>116.0</v>
      </c>
      <c r="L21" s="5">
        <v>457.0</v>
      </c>
      <c r="M21" s="5">
        <v>91400.0</v>
      </c>
      <c r="N21" s="6">
        <f t="shared" ref="N21:O21" si="25">(H21/G21)</f>
        <v>0.35</v>
      </c>
      <c r="O21" s="6">
        <f t="shared" si="25"/>
        <v>0.25</v>
      </c>
      <c r="P21" s="6">
        <f t="shared" si="3"/>
        <v>0.0875</v>
      </c>
      <c r="Q21" s="6">
        <f t="shared" si="4"/>
        <v>0.09004926108</v>
      </c>
      <c r="R21" s="7">
        <f t="shared" si="5"/>
        <v>1.575862069</v>
      </c>
      <c r="S21" s="7">
        <f t="shared" si="6"/>
        <v>200</v>
      </c>
      <c r="T21" s="1" t="str">
        <f t="shared" si="7"/>
        <v>Dec-2025</v>
      </c>
      <c r="U21" s="1"/>
      <c r="V21" s="1"/>
      <c r="W21" s="1"/>
      <c r="X21" s="1"/>
      <c r="Y21" s="1"/>
      <c r="Z21" s="1"/>
    </row>
    <row r="22">
      <c r="A22" s="1"/>
      <c r="B22" s="1"/>
      <c r="C22" s="2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0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2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2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2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2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2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2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2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2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2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2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2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2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2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2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2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2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2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2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2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2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2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2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C1000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0.38"/>
    <col customWidth="1" min="3" max="3" width="14.75"/>
    <col customWidth="1" min="5" max="5" width="13.25"/>
    <col customWidth="1" min="6" max="6" width="8.25"/>
  </cols>
  <sheetData>
    <row r="1"/>
    <row r="2"/>
    <row r="3"/>
    <row r="4"/>
    <row r="5"/>
    <row r="6"/>
    <row r="7"/>
    <row r="8"/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  <row r="34">
      <c r="D34" s="14"/>
    </row>
    <row r="35">
      <c r="D35" s="14"/>
    </row>
    <row r="36">
      <c r="D36" s="14"/>
    </row>
    <row r="37">
      <c r="D37" s="14"/>
    </row>
    <row r="38">
      <c r="D38" s="14"/>
    </row>
    <row r="39">
      <c r="D39" s="14"/>
    </row>
    <row r="40">
      <c r="D40" s="14"/>
    </row>
    <row r="41">
      <c r="D41" s="14"/>
    </row>
    <row r="42">
      <c r="D42" s="14"/>
    </row>
    <row r="43">
      <c r="D43" s="14"/>
    </row>
    <row r="44">
      <c r="D44" s="14"/>
    </row>
    <row r="45">
      <c r="D45" s="14"/>
    </row>
    <row r="46">
      <c r="D46" s="14"/>
    </row>
    <row r="47">
      <c r="D47" s="14"/>
    </row>
    <row r="48">
      <c r="D48" s="14"/>
    </row>
    <row r="49">
      <c r="D49" s="14"/>
    </row>
    <row r="50">
      <c r="D50" s="14"/>
    </row>
    <row r="51">
      <c r="D51" s="14"/>
    </row>
    <row r="52">
      <c r="D52" s="14"/>
    </row>
    <row r="53">
      <c r="D53" s="14"/>
    </row>
    <row r="54">
      <c r="D54" s="14"/>
    </row>
    <row r="55">
      <c r="D55" s="14"/>
    </row>
    <row r="56">
      <c r="D56" s="14"/>
    </row>
    <row r="57">
      <c r="D57" s="14"/>
    </row>
    <row r="58">
      <c r="D58" s="14"/>
    </row>
    <row r="59">
      <c r="D59" s="14"/>
    </row>
    <row r="60">
      <c r="D60" s="14"/>
    </row>
    <row r="61">
      <c r="D61" s="14"/>
    </row>
    <row r="62">
      <c r="D62" s="14"/>
    </row>
    <row r="63">
      <c r="D63" s="14"/>
    </row>
    <row r="64">
      <c r="D64" s="14"/>
    </row>
    <row r="65">
      <c r="D65" s="14"/>
    </row>
    <row r="66">
      <c r="D66" s="14"/>
    </row>
    <row r="67">
      <c r="D67" s="14"/>
    </row>
    <row r="68">
      <c r="D68" s="14"/>
    </row>
    <row r="69">
      <c r="D69" s="14"/>
    </row>
    <row r="70">
      <c r="D70" s="14"/>
    </row>
    <row r="71">
      <c r="D71" s="14"/>
    </row>
    <row r="72">
      <c r="D72" s="14"/>
    </row>
    <row r="73">
      <c r="D73" s="14"/>
    </row>
    <row r="74">
      <c r="D74" s="14"/>
    </row>
    <row r="75">
      <c r="D75" s="14"/>
    </row>
    <row r="76">
      <c r="D76" s="14"/>
    </row>
    <row r="77">
      <c r="D77" s="14"/>
    </row>
    <row r="78">
      <c r="D78" s="14"/>
    </row>
    <row r="79">
      <c r="D79" s="14"/>
    </row>
    <row r="80">
      <c r="D80" s="14"/>
    </row>
    <row r="81">
      <c r="D81" s="14"/>
    </row>
    <row r="82">
      <c r="D82" s="14"/>
    </row>
    <row r="83">
      <c r="D83" s="14"/>
    </row>
    <row r="84">
      <c r="D84" s="14"/>
    </row>
    <row r="85">
      <c r="D85" s="14"/>
    </row>
    <row r="86">
      <c r="D86" s="14"/>
    </row>
    <row r="87">
      <c r="D87" s="14"/>
    </row>
    <row r="88">
      <c r="D88" s="14"/>
    </row>
    <row r="89">
      <c r="D89" s="14"/>
    </row>
    <row r="90">
      <c r="D90" s="14"/>
    </row>
    <row r="91">
      <c r="D91" s="14"/>
    </row>
    <row r="92">
      <c r="D92" s="14"/>
    </row>
    <row r="93">
      <c r="D93" s="14"/>
    </row>
    <row r="94">
      <c r="D94" s="14"/>
    </row>
    <row r="95">
      <c r="D95" s="14"/>
    </row>
    <row r="96">
      <c r="D96" s="14"/>
    </row>
    <row r="97">
      <c r="D97" s="14"/>
    </row>
    <row r="98">
      <c r="D98" s="14"/>
    </row>
    <row r="99">
      <c r="D99" s="14"/>
    </row>
    <row r="100">
      <c r="D100" s="14"/>
    </row>
    <row r="101">
      <c r="D101" s="14"/>
    </row>
    <row r="102">
      <c r="D102" s="14"/>
    </row>
    <row r="103">
      <c r="D103" s="14"/>
    </row>
    <row r="104">
      <c r="D104" s="14"/>
    </row>
    <row r="105">
      <c r="D105" s="14"/>
    </row>
    <row r="106">
      <c r="D106" s="14"/>
    </row>
    <row r="107">
      <c r="D107" s="14"/>
    </row>
    <row r="108">
      <c r="D108" s="14"/>
    </row>
    <row r="109">
      <c r="D109" s="14"/>
    </row>
    <row r="110">
      <c r="D110" s="14"/>
    </row>
    <row r="111">
      <c r="D111" s="14"/>
    </row>
    <row r="112">
      <c r="D112" s="14"/>
    </row>
    <row r="113">
      <c r="D113" s="14"/>
    </row>
    <row r="114">
      <c r="D114" s="14"/>
    </row>
    <row r="115">
      <c r="D115" s="14"/>
    </row>
    <row r="116">
      <c r="D116" s="14"/>
    </row>
    <row r="117">
      <c r="D117" s="14"/>
    </row>
    <row r="118">
      <c r="D118" s="14"/>
    </row>
    <row r="119">
      <c r="D119" s="14"/>
    </row>
    <row r="120">
      <c r="D120" s="14"/>
    </row>
    <row r="121">
      <c r="D121" s="14"/>
    </row>
    <row r="122">
      <c r="D122" s="14"/>
    </row>
    <row r="123">
      <c r="D123" s="14"/>
    </row>
    <row r="124">
      <c r="D124" s="14"/>
    </row>
    <row r="125">
      <c r="D125" s="14"/>
    </row>
    <row r="126">
      <c r="D126" s="14"/>
    </row>
    <row r="127">
      <c r="D127" s="14"/>
    </row>
    <row r="128">
      <c r="D128" s="14"/>
    </row>
    <row r="129">
      <c r="D129" s="14"/>
    </row>
    <row r="130">
      <c r="D130" s="14"/>
    </row>
    <row r="131">
      <c r="D131" s="14"/>
    </row>
    <row r="132">
      <c r="D132" s="14"/>
    </row>
    <row r="133">
      <c r="D133" s="14"/>
    </row>
    <row r="134">
      <c r="D134" s="14"/>
    </row>
    <row r="135">
      <c r="D135" s="14"/>
    </row>
    <row r="136">
      <c r="D136" s="14"/>
    </row>
    <row r="137">
      <c r="D137" s="14"/>
    </row>
    <row r="138">
      <c r="D138" s="14"/>
    </row>
    <row r="139">
      <c r="D139" s="14"/>
    </row>
    <row r="140">
      <c r="D140" s="14"/>
    </row>
    <row r="141">
      <c r="D141" s="14"/>
    </row>
    <row r="142">
      <c r="D142" s="14"/>
    </row>
    <row r="143">
      <c r="D143" s="14"/>
    </row>
    <row r="144">
      <c r="D144" s="14"/>
    </row>
    <row r="145">
      <c r="D145" s="14"/>
    </row>
    <row r="146">
      <c r="D146" s="14"/>
    </row>
    <row r="147">
      <c r="D147" s="14"/>
    </row>
    <row r="148">
      <c r="D148" s="14"/>
    </row>
    <row r="149">
      <c r="D149" s="14"/>
    </row>
    <row r="150">
      <c r="D150" s="14"/>
    </row>
    <row r="151">
      <c r="D151" s="14"/>
    </row>
    <row r="152">
      <c r="D152" s="14"/>
    </row>
    <row r="153">
      <c r="D153" s="14"/>
    </row>
    <row r="154">
      <c r="D154" s="14"/>
    </row>
    <row r="155">
      <c r="D155" s="14"/>
    </row>
    <row r="156">
      <c r="D156" s="14"/>
    </row>
    <row r="157">
      <c r="D157" s="14"/>
    </row>
    <row r="158">
      <c r="D158" s="14"/>
    </row>
    <row r="159">
      <c r="D159" s="14"/>
    </row>
    <row r="160">
      <c r="D160" s="14"/>
    </row>
    <row r="161">
      <c r="D161" s="14"/>
    </row>
    <row r="162">
      <c r="D162" s="14"/>
    </row>
    <row r="163">
      <c r="D163" s="14"/>
    </row>
    <row r="164">
      <c r="D164" s="14"/>
    </row>
    <row r="165">
      <c r="D165" s="14"/>
    </row>
    <row r="166">
      <c r="D166" s="14"/>
    </row>
    <row r="167">
      <c r="D167" s="14"/>
    </row>
    <row r="168">
      <c r="D168" s="14"/>
    </row>
    <row r="169">
      <c r="D169" s="14"/>
    </row>
    <row r="170">
      <c r="D170" s="14"/>
    </row>
    <row r="171">
      <c r="D171" s="14"/>
    </row>
    <row r="172">
      <c r="D172" s="14"/>
    </row>
    <row r="173">
      <c r="D173" s="14"/>
    </row>
    <row r="174">
      <c r="D174" s="14"/>
    </row>
    <row r="175">
      <c r="D175" s="14"/>
    </row>
    <row r="176">
      <c r="D176" s="14"/>
    </row>
    <row r="177">
      <c r="D177" s="14"/>
    </row>
    <row r="178">
      <c r="D178" s="14"/>
    </row>
    <row r="179">
      <c r="D179" s="14"/>
    </row>
    <row r="180">
      <c r="D180" s="14"/>
    </row>
    <row r="181">
      <c r="D181" s="14"/>
    </row>
    <row r="182">
      <c r="D182" s="14"/>
    </row>
    <row r="183">
      <c r="D183" s="14"/>
    </row>
    <row r="184">
      <c r="D184" s="14"/>
    </row>
    <row r="185">
      <c r="D185" s="14"/>
    </row>
    <row r="186">
      <c r="D186" s="14"/>
    </row>
    <row r="187">
      <c r="D187" s="14"/>
    </row>
    <row r="188">
      <c r="D188" s="14"/>
    </row>
    <row r="189">
      <c r="D189" s="14"/>
    </row>
    <row r="190">
      <c r="D190" s="14"/>
    </row>
    <row r="191">
      <c r="D191" s="14"/>
    </row>
    <row r="192">
      <c r="D192" s="14"/>
    </row>
    <row r="193">
      <c r="D193" s="14"/>
    </row>
    <row r="194">
      <c r="D194" s="14"/>
    </row>
    <row r="195">
      <c r="D195" s="14"/>
    </row>
    <row r="196">
      <c r="D196" s="14"/>
    </row>
    <row r="197">
      <c r="D197" s="14"/>
    </row>
    <row r="198">
      <c r="D198" s="14"/>
    </row>
    <row r="199">
      <c r="D199" s="14"/>
    </row>
    <row r="200">
      <c r="D200" s="14"/>
    </row>
    <row r="201">
      <c r="D201" s="14"/>
    </row>
    <row r="202">
      <c r="D202" s="14"/>
    </row>
    <row r="203">
      <c r="D203" s="14"/>
    </row>
    <row r="204">
      <c r="D204" s="14"/>
    </row>
    <row r="205">
      <c r="D205" s="14"/>
    </row>
    <row r="206">
      <c r="D206" s="14"/>
    </row>
    <row r="207">
      <c r="D207" s="14"/>
    </row>
    <row r="208">
      <c r="D208" s="14"/>
    </row>
    <row r="209">
      <c r="D209" s="14"/>
    </row>
    <row r="210">
      <c r="D210" s="14"/>
    </row>
    <row r="211">
      <c r="D211" s="14"/>
    </row>
    <row r="212">
      <c r="D212" s="14"/>
    </row>
    <row r="213">
      <c r="D213" s="14"/>
    </row>
    <row r="214">
      <c r="D214" s="14"/>
    </row>
    <row r="215">
      <c r="D215" s="14"/>
    </row>
    <row r="216">
      <c r="D216" s="14"/>
    </row>
    <row r="217">
      <c r="D217" s="14"/>
    </row>
    <row r="218">
      <c r="D218" s="14"/>
    </row>
    <row r="219">
      <c r="D219" s="14"/>
    </row>
    <row r="220">
      <c r="D220" s="14"/>
    </row>
    <row r="221">
      <c r="D221" s="14"/>
    </row>
    <row r="222">
      <c r="D222" s="14"/>
    </row>
    <row r="223">
      <c r="D223" s="14"/>
    </row>
    <row r="224">
      <c r="D224" s="14"/>
    </row>
    <row r="225">
      <c r="D225" s="14"/>
    </row>
    <row r="226">
      <c r="D226" s="14"/>
    </row>
    <row r="227">
      <c r="D227" s="14"/>
    </row>
    <row r="228">
      <c r="D228" s="14"/>
    </row>
    <row r="229">
      <c r="D229" s="14"/>
    </row>
    <row r="230">
      <c r="D230" s="14"/>
    </row>
    <row r="231">
      <c r="D231" s="14"/>
    </row>
    <row r="232">
      <c r="D232" s="14"/>
    </row>
    <row r="233">
      <c r="D233" s="14"/>
    </row>
    <row r="234">
      <c r="D234" s="14"/>
    </row>
    <row r="235">
      <c r="D235" s="14"/>
    </row>
    <row r="236">
      <c r="D236" s="14"/>
    </row>
    <row r="237">
      <c r="D237" s="14"/>
    </row>
    <row r="238">
      <c r="D238" s="14"/>
    </row>
    <row r="239">
      <c r="D239" s="14"/>
    </row>
    <row r="240">
      <c r="D240" s="14"/>
    </row>
    <row r="241">
      <c r="D241" s="14"/>
    </row>
    <row r="242">
      <c r="D242" s="14"/>
    </row>
    <row r="243">
      <c r="D243" s="14"/>
    </row>
    <row r="244">
      <c r="D244" s="14"/>
    </row>
    <row r="245">
      <c r="D245" s="14"/>
    </row>
    <row r="246">
      <c r="D246" s="14"/>
    </row>
    <row r="247">
      <c r="D247" s="14"/>
    </row>
    <row r="248">
      <c r="D248" s="14"/>
    </row>
    <row r="249">
      <c r="D249" s="14"/>
    </row>
    <row r="250">
      <c r="D250" s="14"/>
    </row>
    <row r="251">
      <c r="D251" s="14"/>
    </row>
    <row r="252">
      <c r="D252" s="14"/>
    </row>
    <row r="253">
      <c r="D253" s="14"/>
    </row>
    <row r="254">
      <c r="D254" s="14"/>
    </row>
    <row r="255">
      <c r="D255" s="14"/>
    </row>
    <row r="256">
      <c r="D256" s="14"/>
    </row>
    <row r="257">
      <c r="D257" s="14"/>
    </row>
    <row r="258">
      <c r="D258" s="14"/>
    </row>
    <row r="259">
      <c r="D259" s="14"/>
    </row>
    <row r="260">
      <c r="D260" s="14"/>
    </row>
    <row r="261">
      <c r="D261" s="14"/>
    </row>
    <row r="262">
      <c r="D262" s="14"/>
    </row>
    <row r="263">
      <c r="D263" s="14"/>
    </row>
    <row r="264">
      <c r="D264" s="14"/>
    </row>
    <row r="265">
      <c r="D265" s="14"/>
    </row>
    <row r="266">
      <c r="D266" s="14"/>
    </row>
    <row r="267">
      <c r="D267" s="14"/>
    </row>
    <row r="268">
      <c r="D268" s="14"/>
    </row>
    <row r="269">
      <c r="D269" s="14"/>
    </row>
    <row r="270">
      <c r="D270" s="14"/>
    </row>
    <row r="271">
      <c r="D271" s="14"/>
    </row>
    <row r="272">
      <c r="D272" s="14"/>
    </row>
    <row r="273">
      <c r="D273" s="14"/>
    </row>
    <row r="274">
      <c r="D274" s="14"/>
    </row>
    <row r="275">
      <c r="D275" s="14"/>
    </row>
    <row r="276">
      <c r="D276" s="14"/>
    </row>
    <row r="277">
      <c r="D277" s="14"/>
    </row>
    <row r="278">
      <c r="D278" s="14"/>
    </row>
    <row r="279">
      <c r="D279" s="14"/>
    </row>
    <row r="280">
      <c r="D280" s="14"/>
    </row>
    <row r="281">
      <c r="D281" s="14"/>
    </row>
    <row r="282">
      <c r="D282" s="14"/>
    </row>
    <row r="283">
      <c r="D283" s="14"/>
    </row>
    <row r="284">
      <c r="D284" s="14"/>
    </row>
    <row r="285">
      <c r="D285" s="14"/>
    </row>
    <row r="286">
      <c r="D286" s="14"/>
    </row>
    <row r="287">
      <c r="D287" s="14"/>
    </row>
    <row r="288">
      <c r="D288" s="14"/>
    </row>
    <row r="289">
      <c r="D289" s="14"/>
    </row>
    <row r="290">
      <c r="D290" s="14"/>
    </row>
    <row r="291">
      <c r="D291" s="14"/>
    </row>
    <row r="292">
      <c r="D292" s="14"/>
    </row>
    <row r="293">
      <c r="D293" s="14"/>
    </row>
    <row r="294">
      <c r="D294" s="14"/>
    </row>
    <row r="295">
      <c r="D295" s="14"/>
    </row>
    <row r="296">
      <c r="D296" s="14"/>
    </row>
    <row r="297">
      <c r="D297" s="14"/>
    </row>
    <row r="298">
      <c r="D298" s="14"/>
    </row>
    <row r="299">
      <c r="D299" s="14"/>
    </row>
    <row r="300">
      <c r="D300" s="14"/>
    </row>
    <row r="301">
      <c r="D301" s="14"/>
    </row>
    <row r="302">
      <c r="D302" s="14"/>
    </row>
    <row r="303">
      <c r="D303" s="14"/>
    </row>
    <row r="304">
      <c r="D304" s="14"/>
    </row>
    <row r="305">
      <c r="D305" s="14"/>
    </row>
    <row r="306">
      <c r="D306" s="14"/>
    </row>
    <row r="307">
      <c r="D307" s="14"/>
    </row>
    <row r="308">
      <c r="D308" s="14"/>
    </row>
    <row r="309">
      <c r="D309" s="14"/>
    </row>
    <row r="310">
      <c r="D310" s="14"/>
    </row>
    <row r="311">
      <c r="D311" s="14"/>
    </row>
    <row r="312">
      <c r="D312" s="14"/>
    </row>
    <row r="313">
      <c r="D313" s="14"/>
    </row>
    <row r="314">
      <c r="D314" s="14"/>
    </row>
    <row r="315">
      <c r="D315" s="14"/>
    </row>
    <row r="316">
      <c r="D316" s="14"/>
    </row>
    <row r="317">
      <c r="D317" s="14"/>
    </row>
    <row r="318">
      <c r="D318" s="14"/>
    </row>
    <row r="319">
      <c r="D319" s="14"/>
    </row>
    <row r="320">
      <c r="D320" s="14"/>
    </row>
    <row r="321">
      <c r="D321" s="14"/>
    </row>
    <row r="322">
      <c r="D322" s="14"/>
    </row>
    <row r="323">
      <c r="D323" s="14"/>
    </row>
    <row r="324">
      <c r="D324" s="14"/>
    </row>
    <row r="325">
      <c r="D325" s="14"/>
    </row>
    <row r="326">
      <c r="D326" s="14"/>
    </row>
    <row r="327">
      <c r="D327" s="14"/>
    </row>
    <row r="328">
      <c r="D328" s="14"/>
    </row>
    <row r="329">
      <c r="D329" s="14"/>
    </row>
    <row r="330">
      <c r="D330" s="14"/>
    </row>
    <row r="331">
      <c r="D331" s="14"/>
    </row>
    <row r="332">
      <c r="D332" s="14"/>
    </row>
    <row r="333">
      <c r="D333" s="14"/>
    </row>
    <row r="334">
      <c r="D334" s="14"/>
    </row>
    <row r="335">
      <c r="D335" s="14"/>
    </row>
    <row r="336">
      <c r="D336" s="14"/>
    </row>
    <row r="337">
      <c r="D337" s="14"/>
    </row>
    <row r="338">
      <c r="D338" s="14"/>
    </row>
    <row r="339">
      <c r="D339" s="14"/>
    </row>
    <row r="340">
      <c r="D340" s="14"/>
    </row>
    <row r="341">
      <c r="D341" s="14"/>
    </row>
    <row r="342">
      <c r="D342" s="14"/>
    </row>
    <row r="343">
      <c r="D343" s="14"/>
    </row>
    <row r="344">
      <c r="D344" s="14"/>
    </row>
    <row r="345">
      <c r="D345" s="14"/>
    </row>
    <row r="346">
      <c r="D346" s="14"/>
    </row>
    <row r="347">
      <c r="D347" s="14"/>
    </row>
    <row r="348">
      <c r="D348" s="14"/>
    </row>
    <row r="349">
      <c r="D349" s="14"/>
    </row>
    <row r="350">
      <c r="D350" s="14"/>
    </row>
    <row r="351">
      <c r="D351" s="14"/>
    </row>
    <row r="352">
      <c r="D352" s="14"/>
    </row>
    <row r="353">
      <c r="D353" s="14"/>
    </row>
    <row r="354">
      <c r="D354" s="14"/>
    </row>
    <row r="355">
      <c r="D355" s="14"/>
    </row>
    <row r="356">
      <c r="D356" s="14"/>
    </row>
    <row r="357">
      <c r="D357" s="14"/>
    </row>
    <row r="358">
      <c r="D358" s="14"/>
    </row>
    <row r="359">
      <c r="D359" s="14"/>
    </row>
    <row r="360">
      <c r="D360" s="14"/>
    </row>
    <row r="361">
      <c r="D361" s="14"/>
    </row>
    <row r="362">
      <c r="D362" s="14"/>
    </row>
    <row r="363">
      <c r="D363" s="14"/>
    </row>
    <row r="364">
      <c r="D364" s="14"/>
    </row>
    <row r="365">
      <c r="D365" s="14"/>
    </row>
    <row r="366">
      <c r="D366" s="14"/>
    </row>
    <row r="367">
      <c r="D367" s="14"/>
    </row>
    <row r="368">
      <c r="D368" s="14"/>
    </row>
    <row r="369">
      <c r="D369" s="14"/>
    </row>
    <row r="370">
      <c r="D370" s="14"/>
    </row>
    <row r="371">
      <c r="D371" s="14"/>
    </row>
    <row r="372">
      <c r="D372" s="14"/>
    </row>
    <row r="373">
      <c r="D373" s="14"/>
    </row>
    <row r="374">
      <c r="D374" s="14"/>
    </row>
    <row r="375">
      <c r="D375" s="14"/>
    </row>
    <row r="376">
      <c r="D376" s="14"/>
    </row>
    <row r="377">
      <c r="D377" s="14"/>
    </row>
    <row r="378">
      <c r="D378" s="14"/>
    </row>
    <row r="379">
      <c r="D379" s="14"/>
    </row>
    <row r="380">
      <c r="D380" s="14"/>
    </row>
    <row r="381">
      <c r="D381" s="14"/>
    </row>
    <row r="382">
      <c r="D382" s="14"/>
    </row>
    <row r="383">
      <c r="D383" s="14"/>
    </row>
    <row r="384">
      <c r="D384" s="14"/>
    </row>
    <row r="385">
      <c r="D385" s="14"/>
    </row>
    <row r="386">
      <c r="D386" s="14"/>
    </row>
    <row r="387">
      <c r="D387" s="14"/>
    </row>
    <row r="388">
      <c r="D388" s="14"/>
    </row>
    <row r="389">
      <c r="D389" s="14"/>
    </row>
    <row r="390">
      <c r="D390" s="14"/>
    </row>
    <row r="391">
      <c r="D391" s="14"/>
    </row>
    <row r="392">
      <c r="D392" s="14"/>
    </row>
    <row r="393">
      <c r="D393" s="14"/>
    </row>
    <row r="394">
      <c r="D394" s="14"/>
    </row>
    <row r="395">
      <c r="D395" s="14"/>
    </row>
    <row r="396">
      <c r="D396" s="14"/>
    </row>
    <row r="397">
      <c r="D397" s="14"/>
    </row>
    <row r="398">
      <c r="D398" s="14"/>
    </row>
    <row r="399">
      <c r="D399" s="14"/>
    </row>
    <row r="400">
      <c r="D400" s="14"/>
    </row>
    <row r="401">
      <c r="D401" s="14"/>
    </row>
    <row r="402">
      <c r="D402" s="14"/>
    </row>
    <row r="403">
      <c r="D403" s="14"/>
    </row>
    <row r="404">
      <c r="D404" s="14"/>
    </row>
    <row r="405">
      <c r="D405" s="14"/>
    </row>
    <row r="406">
      <c r="D406" s="14"/>
    </row>
    <row r="407">
      <c r="D407" s="14"/>
    </row>
    <row r="408">
      <c r="D408" s="14"/>
    </row>
    <row r="409">
      <c r="D409" s="14"/>
    </row>
    <row r="410">
      <c r="D410" s="14"/>
    </row>
    <row r="411">
      <c r="D411" s="14"/>
    </row>
    <row r="412">
      <c r="D412" s="14"/>
    </row>
    <row r="413">
      <c r="D413" s="14"/>
    </row>
    <row r="414">
      <c r="D414" s="14"/>
    </row>
    <row r="415">
      <c r="D415" s="14"/>
    </row>
    <row r="416">
      <c r="D416" s="14"/>
    </row>
    <row r="417">
      <c r="D417" s="14"/>
    </row>
    <row r="418">
      <c r="D418" s="14"/>
    </row>
    <row r="419">
      <c r="D419" s="14"/>
    </row>
    <row r="420">
      <c r="D420" s="14"/>
    </row>
    <row r="421">
      <c r="D421" s="14"/>
    </row>
    <row r="422">
      <c r="D422" s="14"/>
    </row>
    <row r="423">
      <c r="D423" s="14"/>
    </row>
    <row r="424">
      <c r="D424" s="14"/>
    </row>
    <row r="425">
      <c r="D425" s="14"/>
    </row>
    <row r="426">
      <c r="D426" s="14"/>
    </row>
    <row r="427">
      <c r="D427" s="14"/>
    </row>
    <row r="428">
      <c r="D428" s="14"/>
    </row>
    <row r="429">
      <c r="D429" s="14"/>
    </row>
    <row r="430">
      <c r="D430" s="14"/>
    </row>
    <row r="431">
      <c r="D431" s="14"/>
    </row>
    <row r="432">
      <c r="D432" s="14"/>
    </row>
    <row r="433">
      <c r="D433" s="14"/>
    </row>
    <row r="434">
      <c r="D434" s="14"/>
    </row>
    <row r="435">
      <c r="D435" s="14"/>
    </row>
    <row r="436">
      <c r="D436" s="14"/>
    </row>
    <row r="437">
      <c r="D437" s="14"/>
    </row>
    <row r="438">
      <c r="D438" s="14"/>
    </row>
    <row r="439">
      <c r="D439" s="14"/>
    </row>
    <row r="440">
      <c r="D440" s="14"/>
    </row>
    <row r="441">
      <c r="D441" s="14"/>
    </row>
    <row r="442">
      <c r="D442" s="14"/>
    </row>
    <row r="443">
      <c r="D443" s="14"/>
    </row>
    <row r="444">
      <c r="D444" s="14"/>
    </row>
    <row r="445">
      <c r="D445" s="14"/>
    </row>
    <row r="446">
      <c r="D446" s="14"/>
    </row>
    <row r="447">
      <c r="D447" s="14"/>
    </row>
    <row r="448">
      <c r="D448" s="14"/>
    </row>
    <row r="449">
      <c r="D449" s="14"/>
    </row>
    <row r="450">
      <c r="D450" s="14"/>
    </row>
    <row r="451">
      <c r="D451" s="14"/>
    </row>
    <row r="452">
      <c r="D452" s="14"/>
    </row>
    <row r="453">
      <c r="D453" s="14"/>
    </row>
    <row r="454">
      <c r="D454" s="14"/>
    </row>
    <row r="455">
      <c r="D455" s="14"/>
    </row>
    <row r="456">
      <c r="D456" s="14"/>
    </row>
    <row r="457">
      <c r="D457" s="14"/>
    </row>
    <row r="458">
      <c r="D458" s="14"/>
    </row>
    <row r="459">
      <c r="D459" s="14"/>
    </row>
    <row r="460">
      <c r="D460" s="14"/>
    </row>
    <row r="461">
      <c r="D461" s="14"/>
    </row>
    <row r="462">
      <c r="D462" s="14"/>
    </row>
    <row r="463">
      <c r="D463" s="14"/>
    </row>
    <row r="464">
      <c r="D464" s="14"/>
    </row>
    <row r="465">
      <c r="D465" s="14"/>
    </row>
    <row r="466">
      <c r="D466" s="14"/>
    </row>
    <row r="467">
      <c r="D467" s="14"/>
    </row>
    <row r="468">
      <c r="D468" s="14"/>
    </row>
    <row r="469">
      <c r="D469" s="14"/>
    </row>
    <row r="470">
      <c r="D470" s="14"/>
    </row>
    <row r="471">
      <c r="D471" s="14"/>
    </row>
    <row r="472">
      <c r="D472" s="14"/>
    </row>
    <row r="473">
      <c r="D473" s="14"/>
    </row>
    <row r="474">
      <c r="D474" s="14"/>
    </row>
    <row r="475">
      <c r="D475" s="14"/>
    </row>
    <row r="476">
      <c r="D476" s="14"/>
    </row>
    <row r="477">
      <c r="D477" s="14"/>
    </row>
    <row r="478">
      <c r="D478" s="14"/>
    </row>
    <row r="479">
      <c r="D479" s="14"/>
    </row>
    <row r="480">
      <c r="D480" s="14"/>
    </row>
    <row r="481">
      <c r="D481" s="14"/>
    </row>
    <row r="482">
      <c r="D482" s="14"/>
    </row>
    <row r="483">
      <c r="D483" s="14"/>
    </row>
    <row r="484">
      <c r="D484" s="14"/>
    </row>
    <row r="485">
      <c r="D485" s="14"/>
    </row>
    <row r="486">
      <c r="D486" s="14"/>
    </row>
    <row r="487">
      <c r="D487" s="14"/>
    </row>
    <row r="488">
      <c r="D488" s="14"/>
    </row>
    <row r="489">
      <c r="D489" s="14"/>
    </row>
    <row r="490">
      <c r="D490" s="14"/>
    </row>
    <row r="491">
      <c r="D491" s="14"/>
    </row>
    <row r="492">
      <c r="D492" s="14"/>
    </row>
    <row r="493">
      <c r="D493" s="14"/>
    </row>
    <row r="494">
      <c r="D494" s="14"/>
    </row>
    <row r="495">
      <c r="D495" s="14"/>
    </row>
    <row r="496">
      <c r="D496" s="14"/>
    </row>
    <row r="497">
      <c r="D497" s="14"/>
    </row>
    <row r="498">
      <c r="D498" s="14"/>
    </row>
    <row r="499">
      <c r="D499" s="14"/>
    </row>
    <row r="500">
      <c r="D500" s="14"/>
    </row>
    <row r="501">
      <c r="D501" s="14"/>
    </row>
    <row r="502">
      <c r="D502" s="14"/>
    </row>
    <row r="503">
      <c r="D503" s="14"/>
    </row>
    <row r="504">
      <c r="D504" s="14"/>
    </row>
    <row r="505">
      <c r="D505" s="14"/>
    </row>
    <row r="506">
      <c r="D506" s="14"/>
    </row>
    <row r="507">
      <c r="D507" s="14"/>
    </row>
    <row r="508">
      <c r="D508" s="14"/>
    </row>
    <row r="509">
      <c r="D509" s="14"/>
    </row>
    <row r="510">
      <c r="D510" s="14"/>
    </row>
    <row r="511">
      <c r="D511" s="14"/>
    </row>
    <row r="512">
      <c r="D512" s="14"/>
    </row>
    <row r="513">
      <c r="D513" s="14"/>
    </row>
    <row r="514">
      <c r="D514" s="14"/>
    </row>
    <row r="515">
      <c r="D515" s="14"/>
    </row>
    <row r="516">
      <c r="D516" s="14"/>
    </row>
    <row r="517">
      <c r="D517" s="14"/>
    </row>
    <row r="518">
      <c r="D518" s="14"/>
    </row>
    <row r="519">
      <c r="D519" s="14"/>
    </row>
    <row r="520">
      <c r="D520" s="14"/>
    </row>
    <row r="521">
      <c r="D521" s="14"/>
    </row>
    <row r="522">
      <c r="D522" s="14"/>
    </row>
    <row r="523">
      <c r="D523" s="14"/>
    </row>
    <row r="524">
      <c r="D524" s="14"/>
    </row>
    <row r="525">
      <c r="D525" s="14"/>
    </row>
    <row r="526">
      <c r="D526" s="14"/>
    </row>
    <row r="527">
      <c r="D527" s="14"/>
    </row>
    <row r="528">
      <c r="D528" s="14"/>
    </row>
    <row r="529">
      <c r="D529" s="14"/>
    </row>
    <row r="530">
      <c r="D530" s="14"/>
    </row>
    <row r="531">
      <c r="D531" s="14"/>
    </row>
    <row r="532">
      <c r="D532" s="14"/>
    </row>
    <row r="533">
      <c r="D533" s="14"/>
    </row>
    <row r="534">
      <c r="D534" s="14"/>
    </row>
    <row r="535">
      <c r="D535" s="14"/>
    </row>
    <row r="536">
      <c r="D536" s="14"/>
    </row>
    <row r="537">
      <c r="D537" s="14"/>
    </row>
    <row r="538">
      <c r="D538" s="14"/>
    </row>
    <row r="539">
      <c r="D539" s="14"/>
    </row>
    <row r="540">
      <c r="D540" s="14"/>
    </row>
    <row r="541">
      <c r="D541" s="14"/>
    </row>
    <row r="542">
      <c r="D542" s="14"/>
    </row>
    <row r="543">
      <c r="D543" s="14"/>
    </row>
    <row r="544">
      <c r="D544" s="14"/>
    </row>
    <row r="545">
      <c r="D545" s="14"/>
    </row>
    <row r="546">
      <c r="D546" s="14"/>
    </row>
    <row r="547">
      <c r="D547" s="14"/>
    </row>
    <row r="548">
      <c r="D548" s="14"/>
    </row>
    <row r="549">
      <c r="D549" s="14"/>
    </row>
    <row r="550">
      <c r="D550" s="14"/>
    </row>
    <row r="551">
      <c r="D551" s="14"/>
    </row>
    <row r="552">
      <c r="D552" s="14"/>
    </row>
    <row r="553">
      <c r="D553" s="14"/>
    </row>
    <row r="554">
      <c r="D554" s="14"/>
    </row>
    <row r="555">
      <c r="D555" s="14"/>
    </row>
    <row r="556">
      <c r="D556" s="14"/>
    </row>
    <row r="557">
      <c r="D557" s="14"/>
    </row>
    <row r="558">
      <c r="D558" s="14"/>
    </row>
    <row r="559">
      <c r="D559" s="14"/>
    </row>
    <row r="560">
      <c r="D560" s="14"/>
    </row>
    <row r="561">
      <c r="D561" s="14"/>
    </row>
    <row r="562">
      <c r="D562" s="14"/>
    </row>
    <row r="563">
      <c r="D563" s="14"/>
    </row>
    <row r="564">
      <c r="D564" s="14"/>
    </row>
    <row r="565">
      <c r="D565" s="14"/>
    </row>
    <row r="566">
      <c r="D566" s="14"/>
    </row>
    <row r="567">
      <c r="D567" s="14"/>
    </row>
    <row r="568">
      <c r="D568" s="14"/>
    </row>
    <row r="569">
      <c r="D569" s="14"/>
    </row>
    <row r="570">
      <c r="D570" s="14"/>
    </row>
    <row r="571">
      <c r="D571" s="14"/>
    </row>
    <row r="572">
      <c r="D572" s="14"/>
    </row>
    <row r="573">
      <c r="D573" s="14"/>
    </row>
    <row r="574">
      <c r="D574" s="14"/>
    </row>
    <row r="575">
      <c r="D575" s="14"/>
    </row>
    <row r="576">
      <c r="D576" s="14"/>
    </row>
    <row r="577">
      <c r="D577" s="14"/>
    </row>
    <row r="578">
      <c r="D578" s="14"/>
    </row>
    <row r="579">
      <c r="D579" s="14"/>
    </row>
    <row r="580">
      <c r="D580" s="14"/>
    </row>
    <row r="581">
      <c r="D581" s="14"/>
    </row>
    <row r="582">
      <c r="D582" s="14"/>
    </row>
    <row r="583">
      <c r="D583" s="14"/>
    </row>
    <row r="584">
      <c r="D584" s="14"/>
    </row>
    <row r="585">
      <c r="D585" s="14"/>
    </row>
    <row r="586">
      <c r="D586" s="14"/>
    </row>
    <row r="587">
      <c r="D587" s="14"/>
    </row>
    <row r="588">
      <c r="D588" s="14"/>
    </row>
    <row r="589">
      <c r="D589" s="14"/>
    </row>
    <row r="590">
      <c r="D590" s="14"/>
    </row>
    <row r="591">
      <c r="D591" s="14"/>
    </row>
    <row r="592">
      <c r="D592" s="14"/>
    </row>
    <row r="593">
      <c r="D593" s="14"/>
    </row>
    <row r="594">
      <c r="D594" s="14"/>
    </row>
    <row r="595">
      <c r="D595" s="14"/>
    </row>
    <row r="596">
      <c r="D596" s="14"/>
    </row>
    <row r="597">
      <c r="D597" s="14"/>
    </row>
    <row r="598">
      <c r="D598" s="14"/>
    </row>
    <row r="599">
      <c r="D599" s="14"/>
    </row>
    <row r="600">
      <c r="D600" s="14"/>
    </row>
    <row r="601">
      <c r="D601" s="14"/>
    </row>
    <row r="602">
      <c r="D602" s="14"/>
    </row>
    <row r="603">
      <c r="D603" s="14"/>
    </row>
    <row r="604">
      <c r="D604" s="14"/>
    </row>
    <row r="605">
      <c r="D605" s="14"/>
    </row>
    <row r="606">
      <c r="D606" s="14"/>
    </row>
    <row r="607">
      <c r="D607" s="14"/>
    </row>
    <row r="608">
      <c r="D608" s="14"/>
    </row>
    <row r="609">
      <c r="D609" s="14"/>
    </row>
    <row r="610">
      <c r="D610" s="14"/>
    </row>
    <row r="611">
      <c r="D611" s="14"/>
    </row>
    <row r="612">
      <c r="D612" s="14"/>
    </row>
    <row r="613">
      <c r="D613" s="14"/>
    </row>
    <row r="614">
      <c r="D614" s="14"/>
    </row>
    <row r="615">
      <c r="D615" s="14"/>
    </row>
    <row r="616">
      <c r="D616" s="14"/>
    </row>
    <row r="617">
      <c r="D617" s="14"/>
    </row>
    <row r="618">
      <c r="D618" s="14"/>
    </row>
    <row r="619">
      <c r="D619" s="14"/>
    </row>
    <row r="620">
      <c r="D620" s="14"/>
    </row>
    <row r="621">
      <c r="D621" s="14"/>
    </row>
    <row r="622">
      <c r="D622" s="14"/>
    </row>
    <row r="623">
      <c r="D623" s="14"/>
    </row>
    <row r="624">
      <c r="D624" s="14"/>
    </row>
    <row r="625">
      <c r="D625" s="14"/>
    </row>
    <row r="626">
      <c r="D626" s="14"/>
    </row>
    <row r="627">
      <c r="D627" s="14"/>
    </row>
    <row r="628">
      <c r="D628" s="14"/>
    </row>
    <row r="629">
      <c r="D629" s="14"/>
    </row>
    <row r="630">
      <c r="D630" s="14"/>
    </row>
    <row r="631">
      <c r="D631" s="14"/>
    </row>
    <row r="632">
      <c r="D632" s="14"/>
    </row>
    <row r="633">
      <c r="D633" s="14"/>
    </row>
    <row r="634">
      <c r="D634" s="14"/>
    </row>
    <row r="635">
      <c r="D635" s="14"/>
    </row>
    <row r="636">
      <c r="D636" s="14"/>
    </row>
    <row r="637">
      <c r="D637" s="14"/>
    </row>
    <row r="638">
      <c r="D638" s="14"/>
    </row>
    <row r="639">
      <c r="D639" s="14"/>
    </row>
    <row r="640">
      <c r="D640" s="14"/>
    </row>
    <row r="641">
      <c r="D641" s="14"/>
    </row>
    <row r="642">
      <c r="D642" s="14"/>
    </row>
    <row r="643">
      <c r="D643" s="14"/>
    </row>
    <row r="644">
      <c r="D644" s="14"/>
    </row>
    <row r="645">
      <c r="D645" s="14"/>
    </row>
    <row r="646">
      <c r="D646" s="14"/>
    </row>
    <row r="647">
      <c r="D647" s="14"/>
    </row>
    <row r="648">
      <c r="D648" s="14"/>
    </row>
    <row r="649">
      <c r="D649" s="14"/>
    </row>
    <row r="650">
      <c r="D650" s="14"/>
    </row>
    <row r="651">
      <c r="D651" s="14"/>
    </row>
    <row r="652">
      <c r="D652" s="14"/>
    </row>
    <row r="653">
      <c r="D653" s="14"/>
    </row>
    <row r="654">
      <c r="D654" s="14"/>
    </row>
    <row r="655">
      <c r="D655" s="14"/>
    </row>
    <row r="656">
      <c r="D656" s="14"/>
    </row>
    <row r="657">
      <c r="D657" s="14"/>
    </row>
    <row r="658">
      <c r="D658" s="14"/>
    </row>
    <row r="659">
      <c r="D659" s="14"/>
    </row>
    <row r="660">
      <c r="D660" s="14"/>
    </row>
    <row r="661">
      <c r="D661" s="14"/>
    </row>
    <row r="662">
      <c r="D662" s="14"/>
    </row>
    <row r="663">
      <c r="D663" s="14"/>
    </row>
    <row r="664">
      <c r="D664" s="14"/>
    </row>
    <row r="665">
      <c r="D665" s="14"/>
    </row>
    <row r="666">
      <c r="D666" s="14"/>
    </row>
    <row r="667">
      <c r="D667" s="14"/>
    </row>
    <row r="668">
      <c r="D668" s="14"/>
    </row>
    <row r="669">
      <c r="D669" s="14"/>
    </row>
    <row r="670">
      <c r="D670" s="14"/>
    </row>
    <row r="671">
      <c r="D671" s="14"/>
    </row>
    <row r="672">
      <c r="D672" s="14"/>
    </row>
    <row r="673">
      <c r="D673" s="14"/>
    </row>
    <row r="674">
      <c r="D674" s="14"/>
    </row>
    <row r="675">
      <c r="D675" s="14"/>
    </row>
    <row r="676">
      <c r="D676" s="14"/>
    </row>
    <row r="677">
      <c r="D677" s="14"/>
    </row>
    <row r="678">
      <c r="D678" s="14"/>
    </row>
    <row r="679">
      <c r="D679" s="14"/>
    </row>
    <row r="680">
      <c r="D680" s="14"/>
    </row>
    <row r="681">
      <c r="D681" s="14"/>
    </row>
    <row r="682">
      <c r="D682" s="14"/>
    </row>
    <row r="683">
      <c r="D683" s="14"/>
    </row>
    <row r="684">
      <c r="D684" s="14"/>
    </row>
    <row r="685">
      <c r="D685" s="14"/>
    </row>
    <row r="686">
      <c r="D686" s="14"/>
    </row>
    <row r="687">
      <c r="D687" s="14"/>
    </row>
    <row r="688">
      <c r="D688" s="14"/>
    </row>
    <row r="689">
      <c r="D689" s="14"/>
    </row>
    <row r="690">
      <c r="D690" s="14"/>
    </row>
    <row r="691">
      <c r="D691" s="14"/>
    </row>
    <row r="692">
      <c r="D692" s="14"/>
    </row>
    <row r="693">
      <c r="D693" s="14"/>
    </row>
    <row r="694">
      <c r="D694" s="14"/>
    </row>
    <row r="695">
      <c r="D695" s="14"/>
    </row>
    <row r="696">
      <c r="D696" s="14"/>
    </row>
    <row r="697">
      <c r="D697" s="14"/>
    </row>
    <row r="698">
      <c r="D698" s="14"/>
    </row>
    <row r="699">
      <c r="D699" s="14"/>
    </row>
    <row r="700">
      <c r="D700" s="14"/>
    </row>
    <row r="701">
      <c r="D701" s="14"/>
    </row>
    <row r="702">
      <c r="D702" s="14"/>
    </row>
    <row r="703">
      <c r="D703" s="14"/>
    </row>
    <row r="704">
      <c r="D704" s="14"/>
    </row>
    <row r="705">
      <c r="D705" s="14"/>
    </row>
    <row r="706">
      <c r="D706" s="14"/>
    </row>
    <row r="707">
      <c r="D707" s="14"/>
    </row>
    <row r="708">
      <c r="D708" s="14"/>
    </row>
    <row r="709">
      <c r="D709" s="14"/>
    </row>
    <row r="710">
      <c r="D710" s="14"/>
    </row>
    <row r="711">
      <c r="D711" s="14"/>
    </row>
    <row r="712">
      <c r="D712" s="14"/>
    </row>
    <row r="713">
      <c r="D713" s="14"/>
    </row>
    <row r="714">
      <c r="D714" s="14"/>
    </row>
    <row r="715">
      <c r="D715" s="14"/>
    </row>
    <row r="716">
      <c r="D716" s="14"/>
    </row>
    <row r="717">
      <c r="D717" s="14"/>
    </row>
    <row r="718">
      <c r="D718" s="14"/>
    </row>
    <row r="719">
      <c r="D719" s="14"/>
    </row>
    <row r="720">
      <c r="D720" s="14"/>
    </row>
    <row r="721">
      <c r="D721" s="14"/>
    </row>
    <row r="722">
      <c r="D722" s="14"/>
    </row>
    <row r="723">
      <c r="D723" s="14"/>
    </row>
    <row r="724">
      <c r="D724" s="14"/>
    </row>
    <row r="725">
      <c r="D725" s="14"/>
    </row>
    <row r="726">
      <c r="D726" s="14"/>
    </row>
    <row r="727">
      <c r="D727" s="14"/>
    </row>
    <row r="728">
      <c r="D728" s="14"/>
    </row>
    <row r="729">
      <c r="D729" s="14"/>
    </row>
    <row r="730">
      <c r="D730" s="14"/>
    </row>
    <row r="731">
      <c r="D731" s="14"/>
    </row>
    <row r="732">
      <c r="D732" s="14"/>
    </row>
    <row r="733">
      <c r="D733" s="14"/>
    </row>
    <row r="734">
      <c r="D734" s="14"/>
    </row>
    <row r="735">
      <c r="D735" s="14"/>
    </row>
    <row r="736">
      <c r="D736" s="14"/>
    </row>
    <row r="737">
      <c r="D737" s="14"/>
    </row>
    <row r="738">
      <c r="D738" s="14"/>
    </row>
    <row r="739">
      <c r="D739" s="14"/>
    </row>
    <row r="740">
      <c r="D740" s="14"/>
    </row>
    <row r="741">
      <c r="D741" s="14"/>
    </row>
    <row r="742">
      <c r="D742" s="14"/>
    </row>
    <row r="743">
      <c r="D743" s="14"/>
    </row>
    <row r="744">
      <c r="D744" s="14"/>
    </row>
    <row r="745">
      <c r="D745" s="14"/>
    </row>
    <row r="746">
      <c r="D746" s="14"/>
    </row>
    <row r="747">
      <c r="D747" s="14"/>
    </row>
    <row r="748">
      <c r="D748" s="14"/>
    </row>
    <row r="749">
      <c r="D749" s="14"/>
    </row>
    <row r="750">
      <c r="D750" s="14"/>
    </row>
    <row r="751">
      <c r="D751" s="14"/>
    </row>
    <row r="752">
      <c r="D752" s="14"/>
    </row>
    <row r="753">
      <c r="D753" s="14"/>
    </row>
    <row r="754">
      <c r="D754" s="14"/>
    </row>
    <row r="755">
      <c r="D755" s="14"/>
    </row>
    <row r="756">
      <c r="D756" s="14"/>
    </row>
    <row r="757">
      <c r="D757" s="14"/>
    </row>
    <row r="758">
      <c r="D758" s="14"/>
    </row>
    <row r="759">
      <c r="D759" s="14"/>
    </row>
    <row r="760">
      <c r="D760" s="14"/>
    </row>
    <row r="761">
      <c r="D761" s="14"/>
    </row>
    <row r="762">
      <c r="D762" s="14"/>
    </row>
    <row r="763">
      <c r="D763" s="14"/>
    </row>
    <row r="764">
      <c r="D764" s="14"/>
    </row>
    <row r="765">
      <c r="D765" s="14"/>
    </row>
    <row r="766">
      <c r="D766" s="14"/>
    </row>
    <row r="767">
      <c r="D767" s="14"/>
    </row>
    <row r="768">
      <c r="D768" s="14"/>
    </row>
    <row r="769">
      <c r="D769" s="14"/>
    </row>
    <row r="770">
      <c r="D770" s="14"/>
    </row>
    <row r="771">
      <c r="D771" s="14"/>
    </row>
    <row r="772">
      <c r="D772" s="14"/>
    </row>
    <row r="773">
      <c r="D773" s="14"/>
    </row>
    <row r="774">
      <c r="D774" s="14"/>
    </row>
    <row r="775">
      <c r="D775" s="14"/>
    </row>
    <row r="776">
      <c r="D776" s="14"/>
    </row>
    <row r="777">
      <c r="D777" s="14"/>
    </row>
    <row r="778">
      <c r="D778" s="14"/>
    </row>
    <row r="779">
      <c r="D779" s="14"/>
    </row>
    <row r="780">
      <c r="D780" s="14"/>
    </row>
    <row r="781">
      <c r="D781" s="14"/>
    </row>
    <row r="782">
      <c r="D782" s="14"/>
    </row>
    <row r="783">
      <c r="D783" s="14"/>
    </row>
    <row r="784">
      <c r="D784" s="14"/>
    </row>
    <row r="785">
      <c r="D785" s="14"/>
    </row>
    <row r="786">
      <c r="D786" s="14"/>
    </row>
    <row r="787">
      <c r="D787" s="14"/>
    </row>
    <row r="788">
      <c r="D788" s="14"/>
    </row>
    <row r="789">
      <c r="D789" s="14"/>
    </row>
    <row r="790">
      <c r="D790" s="14"/>
    </row>
    <row r="791">
      <c r="D791" s="14"/>
    </row>
    <row r="792">
      <c r="D792" s="14"/>
    </row>
    <row r="793">
      <c r="D793" s="14"/>
    </row>
    <row r="794">
      <c r="D794" s="14"/>
    </row>
    <row r="795">
      <c r="D795" s="14"/>
    </row>
    <row r="796">
      <c r="D796" s="14"/>
    </row>
    <row r="797">
      <c r="D797" s="14"/>
    </row>
    <row r="798">
      <c r="D798" s="14"/>
    </row>
    <row r="799">
      <c r="D799" s="14"/>
    </row>
    <row r="800">
      <c r="D800" s="14"/>
    </row>
    <row r="801">
      <c r="D801" s="14"/>
    </row>
    <row r="802">
      <c r="D802" s="14"/>
    </row>
    <row r="803">
      <c r="D803" s="14"/>
    </row>
    <row r="804">
      <c r="D804" s="14"/>
    </row>
    <row r="805">
      <c r="D805" s="14"/>
    </row>
    <row r="806">
      <c r="D806" s="14"/>
    </row>
    <row r="807">
      <c r="D807" s="14"/>
    </row>
    <row r="808">
      <c r="D808" s="14"/>
    </row>
    <row r="809">
      <c r="D809" s="14"/>
    </row>
    <row r="810">
      <c r="D810" s="14"/>
    </row>
    <row r="811">
      <c r="D811" s="14"/>
    </row>
    <row r="812">
      <c r="D812" s="14"/>
    </row>
    <row r="813">
      <c r="D813" s="14"/>
    </row>
    <row r="814">
      <c r="D814" s="14"/>
    </row>
    <row r="815">
      <c r="D815" s="14"/>
    </row>
    <row r="816">
      <c r="D816" s="14"/>
    </row>
    <row r="817">
      <c r="D817" s="14"/>
    </row>
    <row r="818">
      <c r="D818" s="14"/>
    </row>
    <row r="819">
      <c r="D819" s="14"/>
    </row>
    <row r="820">
      <c r="D820" s="14"/>
    </row>
    <row r="821">
      <c r="D821" s="14"/>
    </row>
    <row r="822">
      <c r="D822" s="14"/>
    </row>
    <row r="823">
      <c r="D823" s="14"/>
    </row>
    <row r="824">
      <c r="D824" s="14"/>
    </row>
    <row r="825">
      <c r="D825" s="14"/>
    </row>
    <row r="826">
      <c r="D826" s="14"/>
    </row>
    <row r="827">
      <c r="D827" s="14"/>
    </row>
    <row r="828">
      <c r="D828" s="14"/>
    </row>
    <row r="829">
      <c r="D829" s="14"/>
    </row>
    <row r="830">
      <c r="D830" s="14"/>
    </row>
    <row r="831">
      <c r="D831" s="14"/>
    </row>
    <row r="832">
      <c r="D832" s="14"/>
    </row>
    <row r="833">
      <c r="D833" s="14"/>
    </row>
    <row r="834">
      <c r="D834" s="14"/>
    </row>
    <row r="835">
      <c r="D835" s="14"/>
    </row>
    <row r="836">
      <c r="D836" s="14"/>
    </row>
    <row r="837">
      <c r="D837" s="14"/>
    </row>
    <row r="838">
      <c r="D838" s="14"/>
    </row>
    <row r="839">
      <c r="D839" s="14"/>
    </row>
    <row r="840">
      <c r="D840" s="14"/>
    </row>
    <row r="841">
      <c r="D841" s="14"/>
    </row>
    <row r="842">
      <c r="D842" s="14"/>
    </row>
    <row r="843">
      <c r="D843" s="14"/>
    </row>
    <row r="844">
      <c r="D844" s="14"/>
    </row>
    <row r="845">
      <c r="D845" s="14"/>
    </row>
    <row r="846">
      <c r="D846" s="14"/>
    </row>
    <row r="847">
      <c r="D847" s="14"/>
    </row>
    <row r="848">
      <c r="D848" s="14"/>
    </row>
    <row r="849">
      <c r="D849" s="14"/>
    </row>
    <row r="850">
      <c r="D850" s="14"/>
    </row>
    <row r="851">
      <c r="D851" s="14"/>
    </row>
    <row r="852">
      <c r="D852" s="14"/>
    </row>
    <row r="853">
      <c r="D853" s="14"/>
    </row>
    <row r="854">
      <c r="D854" s="14"/>
    </row>
    <row r="855">
      <c r="D855" s="14"/>
    </row>
    <row r="856">
      <c r="D856" s="14"/>
    </row>
    <row r="857">
      <c r="D857" s="14"/>
    </row>
    <row r="858">
      <c r="D858" s="14"/>
    </row>
    <row r="859">
      <c r="D859" s="14"/>
    </row>
    <row r="860">
      <c r="D860" s="14"/>
    </row>
    <row r="861">
      <c r="D861" s="14"/>
    </row>
    <row r="862">
      <c r="D862" s="14"/>
    </row>
    <row r="863">
      <c r="D863" s="14"/>
    </row>
    <row r="864">
      <c r="D864" s="14"/>
    </row>
    <row r="865">
      <c r="D865" s="14"/>
    </row>
    <row r="866">
      <c r="D866" s="14"/>
    </row>
    <row r="867">
      <c r="D867" s="14"/>
    </row>
    <row r="868">
      <c r="D868" s="14"/>
    </row>
    <row r="869">
      <c r="D869" s="14"/>
    </row>
    <row r="870">
      <c r="D870" s="14"/>
    </row>
    <row r="871">
      <c r="D871" s="14"/>
    </row>
    <row r="872">
      <c r="D872" s="14"/>
    </row>
    <row r="873">
      <c r="D873" s="14"/>
    </row>
    <row r="874">
      <c r="D874" s="14"/>
    </row>
    <row r="875">
      <c r="D875" s="14"/>
    </row>
    <row r="876">
      <c r="D876" s="14"/>
    </row>
    <row r="877">
      <c r="D877" s="14"/>
    </row>
    <row r="878">
      <c r="D878" s="14"/>
    </row>
    <row r="879">
      <c r="D879" s="14"/>
    </row>
    <row r="880">
      <c r="D880" s="14"/>
    </row>
    <row r="881">
      <c r="D881" s="14"/>
    </row>
    <row r="882">
      <c r="D882" s="14"/>
    </row>
    <row r="883">
      <c r="D883" s="14"/>
    </row>
    <row r="884">
      <c r="D884" s="14"/>
    </row>
    <row r="885">
      <c r="D885" s="14"/>
    </row>
    <row r="886">
      <c r="D886" s="14"/>
    </row>
    <row r="887">
      <c r="D887" s="14"/>
    </row>
    <row r="888">
      <c r="D888" s="14"/>
    </row>
    <row r="889">
      <c r="D889" s="14"/>
    </row>
    <row r="890">
      <c r="D890" s="14"/>
    </row>
    <row r="891">
      <c r="D891" s="14"/>
    </row>
    <row r="892">
      <c r="D892" s="14"/>
    </row>
    <row r="893">
      <c r="D893" s="14"/>
    </row>
    <row r="894">
      <c r="D894" s="14"/>
    </row>
    <row r="895">
      <c r="D895" s="14"/>
    </row>
    <row r="896">
      <c r="D896" s="14"/>
    </row>
    <row r="897">
      <c r="D897" s="14"/>
    </row>
    <row r="898">
      <c r="D898" s="14"/>
    </row>
    <row r="899">
      <c r="D899" s="14"/>
    </row>
    <row r="900">
      <c r="D900" s="14"/>
    </row>
    <row r="901">
      <c r="D901" s="14"/>
    </row>
    <row r="902">
      <c r="D902" s="14"/>
    </row>
    <row r="903">
      <c r="D903" s="14"/>
    </row>
    <row r="904">
      <c r="D904" s="14"/>
    </row>
    <row r="905">
      <c r="D905" s="14"/>
    </row>
    <row r="906">
      <c r="D906" s="14"/>
    </row>
    <row r="907">
      <c r="D907" s="14"/>
    </row>
    <row r="908">
      <c r="D908" s="14"/>
    </row>
    <row r="909">
      <c r="D909" s="14"/>
    </row>
    <row r="910">
      <c r="D910" s="14"/>
    </row>
    <row r="911">
      <c r="D911" s="14"/>
    </row>
    <row r="912">
      <c r="D912" s="14"/>
    </row>
    <row r="913">
      <c r="D913" s="14"/>
    </row>
    <row r="914">
      <c r="D914" s="14"/>
    </row>
    <row r="915">
      <c r="D915" s="14"/>
    </row>
    <row r="916">
      <c r="D916" s="14"/>
    </row>
    <row r="917">
      <c r="D917" s="14"/>
    </row>
    <row r="918">
      <c r="D918" s="14"/>
    </row>
    <row r="919">
      <c r="D919" s="14"/>
    </row>
    <row r="920">
      <c r="D920" s="14"/>
    </row>
    <row r="921">
      <c r="D921" s="14"/>
    </row>
    <row r="922">
      <c r="D922" s="14"/>
    </row>
    <row r="923">
      <c r="D923" s="14"/>
    </row>
    <row r="924">
      <c r="D924" s="14"/>
    </row>
    <row r="925">
      <c r="D925" s="14"/>
    </row>
    <row r="926">
      <c r="D926" s="14"/>
    </row>
    <row r="927">
      <c r="D927" s="14"/>
    </row>
    <row r="928">
      <c r="D928" s="14"/>
    </row>
    <row r="929">
      <c r="D929" s="14"/>
    </row>
    <row r="930">
      <c r="D930" s="14"/>
    </row>
    <row r="931">
      <c r="D931" s="14"/>
    </row>
    <row r="932">
      <c r="D932" s="14"/>
    </row>
    <row r="933">
      <c r="D933" s="14"/>
    </row>
    <row r="934">
      <c r="D934" s="14"/>
    </row>
    <row r="935">
      <c r="D935" s="14"/>
    </row>
    <row r="936">
      <c r="D936" s="14"/>
    </row>
    <row r="937">
      <c r="D937" s="14"/>
    </row>
    <row r="938">
      <c r="D938" s="14"/>
    </row>
    <row r="939">
      <c r="D939" s="14"/>
    </row>
    <row r="940">
      <c r="D940" s="14"/>
    </row>
    <row r="941">
      <c r="D941" s="14"/>
    </row>
    <row r="942">
      <c r="D942" s="14"/>
    </row>
    <row r="943">
      <c r="D943" s="14"/>
    </row>
    <row r="944">
      <c r="D944" s="14"/>
    </row>
    <row r="945">
      <c r="D945" s="14"/>
    </row>
    <row r="946">
      <c r="D946" s="14"/>
    </row>
    <row r="947">
      <c r="D947" s="14"/>
    </row>
    <row r="948">
      <c r="D948" s="14"/>
    </row>
    <row r="949">
      <c r="D949" s="14"/>
    </row>
    <row r="950">
      <c r="D950" s="14"/>
    </row>
    <row r="951">
      <c r="D951" s="14"/>
    </row>
    <row r="952">
      <c r="D952" s="14"/>
    </row>
    <row r="953">
      <c r="D953" s="14"/>
    </row>
    <row r="954">
      <c r="D954" s="14"/>
    </row>
    <row r="955">
      <c r="D955" s="14"/>
    </row>
    <row r="956">
      <c r="D956" s="14"/>
    </row>
    <row r="957">
      <c r="D957" s="14"/>
    </row>
    <row r="958">
      <c r="D958" s="14"/>
    </row>
    <row r="959">
      <c r="D959" s="14"/>
    </row>
    <row r="960">
      <c r="D960" s="14"/>
    </row>
    <row r="961">
      <c r="D961" s="14"/>
    </row>
    <row r="962">
      <c r="D962" s="14"/>
    </row>
    <row r="963">
      <c r="D963" s="14"/>
    </row>
    <row r="964">
      <c r="D964" s="14"/>
    </row>
    <row r="965">
      <c r="D965" s="14"/>
    </row>
    <row r="966">
      <c r="D966" s="14"/>
    </row>
    <row r="967">
      <c r="D967" s="14"/>
    </row>
    <row r="968">
      <c r="D968" s="14"/>
    </row>
    <row r="969">
      <c r="D969" s="14"/>
    </row>
    <row r="970">
      <c r="D970" s="14"/>
    </row>
    <row r="971">
      <c r="D971" s="14"/>
    </row>
    <row r="972">
      <c r="D972" s="14"/>
    </row>
    <row r="973">
      <c r="D973" s="14"/>
    </row>
    <row r="974">
      <c r="D974" s="14"/>
    </row>
    <row r="975">
      <c r="D975" s="14"/>
    </row>
    <row r="976">
      <c r="D976" s="14"/>
    </row>
    <row r="977">
      <c r="D977" s="14"/>
    </row>
    <row r="978">
      <c r="D978" s="14"/>
    </row>
    <row r="979">
      <c r="D979" s="14"/>
    </row>
    <row r="980">
      <c r="D980" s="14"/>
    </row>
    <row r="981">
      <c r="D981" s="14"/>
    </row>
    <row r="982">
      <c r="D982" s="14"/>
    </row>
    <row r="983">
      <c r="D983" s="14"/>
    </row>
    <row r="984">
      <c r="D984" s="14"/>
    </row>
    <row r="985">
      <c r="D985" s="14"/>
    </row>
    <row r="986">
      <c r="D986" s="14"/>
    </row>
    <row r="987">
      <c r="D987" s="14"/>
    </row>
    <row r="988">
      <c r="D988" s="14"/>
    </row>
    <row r="989">
      <c r="D989" s="14"/>
    </row>
    <row r="990">
      <c r="D990" s="14"/>
    </row>
    <row r="991">
      <c r="D991" s="14"/>
    </row>
    <row r="992">
      <c r="D992" s="14"/>
    </row>
    <row r="993">
      <c r="D993" s="14"/>
    </row>
    <row r="994">
      <c r="D994" s="14"/>
    </row>
    <row r="995">
      <c r="D995" s="14"/>
    </row>
    <row r="996">
      <c r="D996" s="14"/>
    </row>
    <row r="997">
      <c r="D997" s="14"/>
    </row>
    <row r="998">
      <c r="D998" s="14"/>
    </row>
    <row r="999">
      <c r="D999" s="14"/>
    </row>
    <row r="1000">
      <c r="D1000" s="14"/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38"/>
    <col customWidth="1" min="2" max="2" width="14.63"/>
    <col customWidth="1" min="3" max="3" width="15.5"/>
    <col customWidth="1" min="5" max="5" width="17.63"/>
    <col customWidth="1" min="7" max="7" width="20.0"/>
  </cols>
  <sheetData>
    <row r="1"/>
    <row r="2"/>
    <row r="3"/>
    <row r="4"/>
    <row r="5"/>
    <row r="6"/>
    <row r="7"/>
    <row r="8"/>
    <row r="9"/>
    <row r="10">
      <c r="F10" s="16"/>
    </row>
    <row r="11">
      <c r="F11" s="16"/>
    </row>
    <row r="12">
      <c r="F12" s="16"/>
    </row>
    <row r="13">
      <c r="F13" s="16"/>
    </row>
    <row r="14">
      <c r="F14" s="16"/>
    </row>
    <row r="15">
      <c r="F15" s="16"/>
    </row>
    <row r="16">
      <c r="F16" s="16"/>
    </row>
    <row r="17">
      <c r="F17" s="16"/>
    </row>
    <row r="18">
      <c r="F18" s="16"/>
    </row>
    <row r="19">
      <c r="F19" s="16"/>
    </row>
    <row r="20">
      <c r="F20" s="16"/>
    </row>
    <row r="21">
      <c r="F21" s="16"/>
    </row>
    <row r="22">
      <c r="F22" s="16"/>
    </row>
    <row r="23">
      <c r="F23" s="16"/>
    </row>
    <row r="24">
      <c r="F24" s="16"/>
    </row>
    <row r="25">
      <c r="F25" s="16"/>
    </row>
    <row r="26">
      <c r="F26" s="16"/>
    </row>
    <row r="27">
      <c r="F27" s="16"/>
    </row>
    <row r="28">
      <c r="F28" s="16"/>
    </row>
    <row r="29">
      <c r="F29" s="16"/>
    </row>
    <row r="30">
      <c r="F30" s="16"/>
    </row>
    <row r="31">
      <c r="F31" s="16"/>
    </row>
    <row r="32">
      <c r="F32" s="16"/>
    </row>
    <row r="33">
      <c r="F33" s="16"/>
    </row>
    <row r="34">
      <c r="F34" s="16"/>
    </row>
    <row r="35">
      <c r="F35" s="16"/>
    </row>
    <row r="36">
      <c r="F36" s="16"/>
    </row>
    <row r="37">
      <c r="F37" s="16"/>
    </row>
    <row r="38">
      <c r="F38" s="16"/>
    </row>
    <row r="39">
      <c r="F39" s="16"/>
    </row>
    <row r="40">
      <c r="F40" s="16"/>
    </row>
    <row r="41">
      <c r="F41" s="16"/>
    </row>
    <row r="42">
      <c r="F42" s="16"/>
    </row>
    <row r="43">
      <c r="F43" s="16"/>
    </row>
    <row r="44">
      <c r="F44" s="16"/>
    </row>
    <row r="45">
      <c r="F45" s="16"/>
    </row>
    <row r="46">
      <c r="F46" s="16"/>
    </row>
    <row r="47">
      <c r="F47" s="16"/>
    </row>
    <row r="48">
      <c r="F48" s="16"/>
    </row>
    <row r="49">
      <c r="F49" s="16"/>
    </row>
    <row r="50">
      <c r="F50" s="16"/>
    </row>
    <row r="51">
      <c r="F51" s="16"/>
    </row>
    <row r="52">
      <c r="F52" s="16"/>
    </row>
    <row r="53">
      <c r="F53" s="16"/>
    </row>
    <row r="54">
      <c r="F54" s="16"/>
    </row>
    <row r="55">
      <c r="F55" s="16"/>
    </row>
    <row r="56">
      <c r="F56" s="16"/>
    </row>
    <row r="57">
      <c r="F57" s="16"/>
    </row>
    <row r="58">
      <c r="F58" s="16"/>
    </row>
    <row r="59">
      <c r="F59" s="16"/>
    </row>
    <row r="60">
      <c r="F60" s="16"/>
    </row>
    <row r="61">
      <c r="F61" s="16"/>
    </row>
    <row r="62">
      <c r="F62" s="16"/>
    </row>
    <row r="63">
      <c r="F63" s="16"/>
    </row>
    <row r="64">
      <c r="F64" s="16"/>
    </row>
    <row r="65">
      <c r="F65" s="16"/>
    </row>
    <row r="66">
      <c r="F66" s="16"/>
    </row>
    <row r="67">
      <c r="F67" s="16"/>
    </row>
    <row r="68">
      <c r="F68" s="16"/>
    </row>
    <row r="69">
      <c r="F69" s="16"/>
    </row>
    <row r="70">
      <c r="F70" s="16"/>
    </row>
    <row r="71">
      <c r="F71" s="16"/>
    </row>
    <row r="72">
      <c r="F72" s="16"/>
    </row>
    <row r="73">
      <c r="F73" s="16"/>
    </row>
    <row r="74">
      <c r="F74" s="16"/>
    </row>
    <row r="75">
      <c r="F75" s="16"/>
    </row>
    <row r="76">
      <c r="F76" s="16"/>
    </row>
    <row r="77">
      <c r="F77" s="16"/>
    </row>
    <row r="78">
      <c r="F78" s="16"/>
    </row>
    <row r="79">
      <c r="F79" s="16"/>
    </row>
    <row r="80">
      <c r="F80" s="16"/>
    </row>
    <row r="81">
      <c r="F81" s="16"/>
    </row>
    <row r="82">
      <c r="F82" s="16"/>
    </row>
    <row r="83">
      <c r="F83" s="16"/>
    </row>
    <row r="84">
      <c r="F84" s="16"/>
    </row>
    <row r="85">
      <c r="F85" s="16"/>
    </row>
    <row r="86">
      <c r="F86" s="16"/>
    </row>
    <row r="87">
      <c r="F87" s="16"/>
    </row>
    <row r="88">
      <c r="F88" s="16"/>
    </row>
    <row r="89">
      <c r="F89" s="16"/>
    </row>
    <row r="90">
      <c r="F90" s="16"/>
    </row>
    <row r="91">
      <c r="F91" s="16"/>
    </row>
    <row r="92">
      <c r="F92" s="16"/>
    </row>
    <row r="93">
      <c r="F93" s="16"/>
    </row>
    <row r="94">
      <c r="F94" s="16"/>
    </row>
    <row r="95">
      <c r="F95" s="16"/>
    </row>
    <row r="96">
      <c r="F96" s="16"/>
    </row>
    <row r="97">
      <c r="F97" s="16"/>
    </row>
    <row r="98">
      <c r="F98" s="16"/>
    </row>
    <row r="99">
      <c r="F99" s="16"/>
    </row>
    <row r="100">
      <c r="F100" s="16"/>
    </row>
    <row r="101">
      <c r="F101" s="16"/>
    </row>
    <row r="102">
      <c r="F102" s="16"/>
    </row>
    <row r="103">
      <c r="F103" s="16"/>
    </row>
    <row r="104">
      <c r="F104" s="16"/>
    </row>
    <row r="105">
      <c r="F105" s="16"/>
    </row>
    <row r="106">
      <c r="F106" s="16"/>
    </row>
    <row r="107">
      <c r="F107" s="16"/>
    </row>
    <row r="108">
      <c r="F108" s="16"/>
    </row>
    <row r="109">
      <c r="F109" s="16"/>
    </row>
    <row r="110">
      <c r="F110" s="16"/>
    </row>
    <row r="111">
      <c r="F111" s="16"/>
    </row>
    <row r="112">
      <c r="F112" s="16"/>
    </row>
    <row r="113">
      <c r="F113" s="16"/>
    </row>
    <row r="114">
      <c r="F114" s="16"/>
    </row>
    <row r="115">
      <c r="F115" s="16"/>
    </row>
    <row r="116">
      <c r="F116" s="16"/>
    </row>
    <row r="117">
      <c r="F117" s="16"/>
    </row>
    <row r="118">
      <c r="F118" s="16"/>
    </row>
    <row r="119">
      <c r="F119" s="16"/>
    </row>
    <row r="120">
      <c r="F120" s="16"/>
    </row>
    <row r="121">
      <c r="F121" s="16"/>
    </row>
    <row r="122">
      <c r="F122" s="16"/>
    </row>
    <row r="123">
      <c r="F123" s="16"/>
    </row>
    <row r="124">
      <c r="F124" s="16"/>
    </row>
    <row r="125">
      <c r="F125" s="16"/>
    </row>
    <row r="126">
      <c r="F126" s="16"/>
    </row>
    <row r="127">
      <c r="F127" s="16"/>
    </row>
    <row r="128">
      <c r="F128" s="16"/>
    </row>
    <row r="129">
      <c r="F129" s="16"/>
    </row>
    <row r="130">
      <c r="F130" s="16"/>
    </row>
    <row r="131">
      <c r="F131" s="16"/>
    </row>
    <row r="132">
      <c r="F132" s="16"/>
    </row>
    <row r="133">
      <c r="F133" s="16"/>
    </row>
    <row r="134">
      <c r="F134" s="16"/>
    </row>
    <row r="135">
      <c r="F135" s="16"/>
    </row>
    <row r="136">
      <c r="F136" s="16"/>
    </row>
    <row r="137">
      <c r="F137" s="16"/>
    </row>
    <row r="138">
      <c r="F138" s="16"/>
    </row>
    <row r="139">
      <c r="F139" s="16"/>
    </row>
    <row r="140">
      <c r="F140" s="16"/>
    </row>
    <row r="141">
      <c r="F141" s="16"/>
    </row>
    <row r="142">
      <c r="F142" s="16"/>
    </row>
    <row r="143">
      <c r="F143" s="16"/>
    </row>
    <row r="144">
      <c r="F144" s="16"/>
    </row>
    <row r="145">
      <c r="F145" s="16"/>
    </row>
    <row r="146">
      <c r="F146" s="16"/>
    </row>
    <row r="147">
      <c r="F147" s="16"/>
    </row>
    <row r="148">
      <c r="F148" s="16"/>
    </row>
    <row r="149">
      <c r="F149" s="16"/>
    </row>
    <row r="150">
      <c r="F150" s="16"/>
    </row>
    <row r="151">
      <c r="F151" s="16"/>
    </row>
    <row r="152">
      <c r="F152" s="16"/>
    </row>
    <row r="153">
      <c r="F153" s="16"/>
    </row>
    <row r="154">
      <c r="F154" s="16"/>
    </row>
    <row r="155">
      <c r="F155" s="16"/>
    </row>
    <row r="156">
      <c r="F156" s="16"/>
    </row>
    <row r="157">
      <c r="F157" s="16"/>
    </row>
    <row r="158">
      <c r="F158" s="16"/>
    </row>
    <row r="159">
      <c r="F159" s="16"/>
    </row>
    <row r="160">
      <c r="F160" s="16"/>
    </row>
    <row r="161">
      <c r="F161" s="16"/>
    </row>
    <row r="162">
      <c r="F162" s="16"/>
    </row>
    <row r="163">
      <c r="F163" s="16"/>
    </row>
    <row r="164">
      <c r="F164" s="16"/>
    </row>
    <row r="165">
      <c r="F165" s="16"/>
    </row>
    <row r="166">
      <c r="F166" s="16"/>
    </row>
    <row r="167">
      <c r="F167" s="16"/>
    </row>
    <row r="168">
      <c r="F168" s="16"/>
    </row>
    <row r="169">
      <c r="F169" s="16"/>
    </row>
    <row r="170">
      <c r="F170" s="16"/>
    </row>
    <row r="171">
      <c r="F171" s="16"/>
    </row>
    <row r="172">
      <c r="F172" s="16"/>
    </row>
    <row r="173">
      <c r="F173" s="16"/>
    </row>
    <row r="174">
      <c r="F174" s="16"/>
    </row>
    <row r="175">
      <c r="F175" s="16"/>
    </row>
    <row r="176">
      <c r="F176" s="16"/>
    </row>
    <row r="177">
      <c r="F177" s="16"/>
    </row>
    <row r="178">
      <c r="F178" s="16"/>
    </row>
    <row r="179">
      <c r="F179" s="16"/>
    </row>
    <row r="180">
      <c r="F180" s="16"/>
    </row>
    <row r="181">
      <c r="F181" s="16"/>
    </row>
    <row r="182">
      <c r="F182" s="16"/>
    </row>
    <row r="183">
      <c r="F183" s="16"/>
    </row>
    <row r="184">
      <c r="F184" s="16"/>
    </row>
    <row r="185">
      <c r="F185" s="16"/>
    </row>
    <row r="186">
      <c r="F186" s="16"/>
    </row>
    <row r="187">
      <c r="F187" s="16"/>
    </row>
    <row r="188">
      <c r="F188" s="16"/>
    </row>
    <row r="189">
      <c r="F189" s="16"/>
    </row>
    <row r="190">
      <c r="F190" s="16"/>
    </row>
    <row r="191">
      <c r="F191" s="16"/>
    </row>
    <row r="192">
      <c r="F192" s="16"/>
    </row>
    <row r="193">
      <c r="F193" s="16"/>
    </row>
    <row r="194">
      <c r="F194" s="16"/>
    </row>
    <row r="195">
      <c r="F195" s="16"/>
    </row>
    <row r="196">
      <c r="F196" s="16"/>
    </row>
    <row r="197">
      <c r="F197" s="16"/>
    </row>
    <row r="198">
      <c r="F198" s="16"/>
    </row>
    <row r="199">
      <c r="F199" s="16"/>
    </row>
    <row r="200">
      <c r="F200" s="16"/>
    </row>
    <row r="201">
      <c r="F201" s="16"/>
    </row>
    <row r="202">
      <c r="F202" s="16"/>
    </row>
    <row r="203">
      <c r="F203" s="16"/>
    </row>
    <row r="204">
      <c r="F204" s="16"/>
    </row>
    <row r="205">
      <c r="F205" s="16"/>
    </row>
    <row r="206">
      <c r="F206" s="16"/>
    </row>
    <row r="207">
      <c r="F207" s="16"/>
    </row>
    <row r="208">
      <c r="F208" s="16"/>
    </row>
    <row r="209">
      <c r="F209" s="16"/>
    </row>
    <row r="210">
      <c r="F210" s="16"/>
    </row>
    <row r="211">
      <c r="F211" s="16"/>
    </row>
    <row r="212">
      <c r="F212" s="16"/>
    </row>
    <row r="213">
      <c r="F213" s="16"/>
    </row>
    <row r="214">
      <c r="F214" s="16"/>
    </row>
    <row r="215">
      <c r="F215" s="16"/>
    </row>
    <row r="216">
      <c r="F216" s="16"/>
    </row>
    <row r="217">
      <c r="F217" s="16"/>
    </row>
    <row r="218">
      <c r="F218" s="16"/>
    </row>
    <row r="219">
      <c r="F219" s="16"/>
    </row>
    <row r="220">
      <c r="F220" s="16"/>
    </row>
    <row r="221">
      <c r="F221" s="16"/>
    </row>
    <row r="222">
      <c r="F222" s="16"/>
    </row>
    <row r="223">
      <c r="F223" s="16"/>
    </row>
    <row r="224">
      <c r="F224" s="16"/>
    </row>
    <row r="225">
      <c r="F225" s="16"/>
    </row>
    <row r="226">
      <c r="F226" s="16"/>
    </row>
    <row r="227">
      <c r="F227" s="16"/>
    </row>
    <row r="228">
      <c r="F228" s="16"/>
    </row>
    <row r="229">
      <c r="F229" s="16"/>
    </row>
    <row r="230">
      <c r="F230" s="16"/>
    </row>
    <row r="231">
      <c r="F231" s="16"/>
    </row>
    <row r="232">
      <c r="F232" s="16"/>
    </row>
    <row r="233">
      <c r="F233" s="16"/>
    </row>
    <row r="234">
      <c r="F234" s="16"/>
    </row>
    <row r="235">
      <c r="F235" s="16"/>
    </row>
    <row r="236">
      <c r="F236" s="16"/>
    </row>
    <row r="237">
      <c r="F237" s="16"/>
    </row>
    <row r="238">
      <c r="F238" s="16"/>
    </row>
    <row r="239">
      <c r="F239" s="16"/>
    </row>
    <row r="240">
      <c r="F240" s="16"/>
    </row>
    <row r="241">
      <c r="F241" s="16"/>
    </row>
    <row r="242">
      <c r="F242" s="16"/>
    </row>
    <row r="243">
      <c r="F243" s="16"/>
    </row>
    <row r="244">
      <c r="F244" s="16"/>
    </row>
    <row r="245">
      <c r="F245" s="16"/>
    </row>
    <row r="246">
      <c r="F246" s="16"/>
    </row>
    <row r="247">
      <c r="F247" s="16"/>
    </row>
    <row r="248">
      <c r="F248" s="16"/>
    </row>
    <row r="249">
      <c r="F249" s="16"/>
    </row>
    <row r="250">
      <c r="F250" s="16"/>
    </row>
    <row r="251">
      <c r="F251" s="16"/>
    </row>
    <row r="252">
      <c r="F252" s="16"/>
    </row>
    <row r="253">
      <c r="F253" s="16"/>
    </row>
    <row r="254">
      <c r="F254" s="16"/>
    </row>
    <row r="255">
      <c r="F255" s="16"/>
    </row>
    <row r="256">
      <c r="F256" s="16"/>
    </row>
    <row r="257">
      <c r="F257" s="16"/>
    </row>
    <row r="258">
      <c r="F258" s="16"/>
    </row>
    <row r="259">
      <c r="F259" s="16"/>
    </row>
    <row r="260">
      <c r="F260" s="16"/>
    </row>
    <row r="261">
      <c r="F261" s="16"/>
    </row>
    <row r="262">
      <c r="F262" s="16"/>
    </row>
    <row r="263">
      <c r="F263" s="16"/>
    </row>
    <row r="264">
      <c r="F264" s="16"/>
    </row>
    <row r="265">
      <c r="F265" s="16"/>
    </row>
    <row r="266">
      <c r="F266" s="16"/>
    </row>
    <row r="267">
      <c r="F267" s="16"/>
    </row>
    <row r="268">
      <c r="F268" s="16"/>
    </row>
    <row r="269">
      <c r="F269" s="16"/>
    </row>
    <row r="270">
      <c r="F270" s="16"/>
    </row>
    <row r="271">
      <c r="F271" s="16"/>
    </row>
    <row r="272">
      <c r="F272" s="16"/>
    </row>
    <row r="273">
      <c r="F273" s="16"/>
    </row>
    <row r="274">
      <c r="F274" s="16"/>
    </row>
    <row r="275">
      <c r="F275" s="16"/>
    </row>
    <row r="276">
      <c r="F276" s="16"/>
    </row>
    <row r="277">
      <c r="F277" s="16"/>
    </row>
    <row r="278">
      <c r="F278" s="16"/>
    </row>
    <row r="279">
      <c r="F279" s="16"/>
    </row>
    <row r="280">
      <c r="F280" s="16"/>
    </row>
    <row r="281">
      <c r="F281" s="16"/>
    </row>
    <row r="282">
      <c r="F282" s="16"/>
    </row>
    <row r="283">
      <c r="F283" s="16"/>
    </row>
    <row r="284">
      <c r="F284" s="16"/>
    </row>
    <row r="285">
      <c r="F285" s="16"/>
    </row>
    <row r="286">
      <c r="F286" s="16"/>
    </row>
    <row r="287">
      <c r="F287" s="16"/>
    </row>
    <row r="288">
      <c r="F288" s="16"/>
    </row>
    <row r="289">
      <c r="F289" s="16"/>
    </row>
    <row r="290">
      <c r="F290" s="16"/>
    </row>
    <row r="291">
      <c r="F291" s="16"/>
    </row>
    <row r="292">
      <c r="F292" s="16"/>
    </row>
    <row r="293">
      <c r="F293" s="16"/>
    </row>
    <row r="294">
      <c r="F294" s="16"/>
    </row>
    <row r="295">
      <c r="F295" s="16"/>
    </row>
    <row r="296">
      <c r="F296" s="16"/>
    </row>
    <row r="297">
      <c r="F297" s="16"/>
    </row>
    <row r="298">
      <c r="F298" s="16"/>
    </row>
    <row r="299">
      <c r="F299" s="16"/>
    </row>
    <row r="300">
      <c r="F300" s="16"/>
    </row>
    <row r="301">
      <c r="F301" s="16"/>
    </row>
    <row r="302">
      <c r="F302" s="16"/>
    </row>
    <row r="303">
      <c r="F303" s="16"/>
    </row>
    <row r="304">
      <c r="F304" s="16"/>
    </row>
    <row r="305">
      <c r="F305" s="16"/>
    </row>
    <row r="306">
      <c r="F306" s="16"/>
    </row>
    <row r="307">
      <c r="F307" s="16"/>
    </row>
    <row r="308">
      <c r="F308" s="16"/>
    </row>
    <row r="309">
      <c r="F309" s="16"/>
    </row>
    <row r="310">
      <c r="F310" s="16"/>
    </row>
    <row r="311">
      <c r="F311" s="16"/>
    </row>
    <row r="312">
      <c r="F312" s="16"/>
    </row>
    <row r="313">
      <c r="F313" s="16"/>
    </row>
    <row r="314">
      <c r="F314" s="16"/>
    </row>
    <row r="315">
      <c r="F315" s="16"/>
    </row>
    <row r="316">
      <c r="F316" s="16"/>
    </row>
    <row r="317">
      <c r="F317" s="16"/>
    </row>
    <row r="318">
      <c r="F318" s="16"/>
    </row>
    <row r="319">
      <c r="F319" s="16"/>
    </row>
    <row r="320">
      <c r="F320" s="16"/>
    </row>
    <row r="321">
      <c r="F321" s="16"/>
    </row>
    <row r="322">
      <c r="F322" s="16"/>
    </row>
    <row r="323">
      <c r="F323" s="16"/>
    </row>
    <row r="324">
      <c r="F324" s="16"/>
    </row>
    <row r="325">
      <c r="F325" s="16"/>
    </row>
    <row r="326">
      <c r="F326" s="16"/>
    </row>
    <row r="327">
      <c r="F327" s="16"/>
    </row>
    <row r="328">
      <c r="F328" s="16"/>
    </row>
    <row r="329">
      <c r="F329" s="16"/>
    </row>
    <row r="330">
      <c r="F330" s="16"/>
    </row>
    <row r="331">
      <c r="F331" s="16"/>
    </row>
    <row r="332">
      <c r="F332" s="16"/>
    </row>
    <row r="333">
      <c r="F333" s="16"/>
    </row>
    <row r="334">
      <c r="F334" s="16"/>
    </row>
    <row r="335">
      <c r="F335" s="16"/>
    </row>
    <row r="336">
      <c r="F336" s="16"/>
    </row>
    <row r="337">
      <c r="F337" s="16"/>
    </row>
    <row r="338">
      <c r="F338" s="16"/>
    </row>
    <row r="339">
      <c r="F339" s="16"/>
    </row>
    <row r="340">
      <c r="F340" s="16"/>
    </row>
    <row r="341">
      <c r="F341" s="16"/>
    </row>
    <row r="342">
      <c r="F342" s="16"/>
    </row>
    <row r="343">
      <c r="F343" s="16"/>
    </row>
    <row r="344">
      <c r="F344" s="16"/>
    </row>
    <row r="345">
      <c r="F345" s="16"/>
    </row>
    <row r="346">
      <c r="F346" s="16"/>
    </row>
    <row r="347">
      <c r="F347" s="16"/>
    </row>
    <row r="348">
      <c r="F348" s="16"/>
    </row>
    <row r="349">
      <c r="F349" s="16"/>
    </row>
    <row r="350">
      <c r="F350" s="16"/>
    </row>
    <row r="351">
      <c r="F351" s="16"/>
    </row>
    <row r="352">
      <c r="F352" s="16"/>
    </row>
    <row r="353">
      <c r="F353" s="16"/>
    </row>
    <row r="354">
      <c r="F354" s="16"/>
    </row>
    <row r="355">
      <c r="F355" s="16"/>
    </row>
    <row r="356">
      <c r="F356" s="16"/>
    </row>
    <row r="357">
      <c r="F357" s="16"/>
    </row>
    <row r="358">
      <c r="F358" s="16"/>
    </row>
    <row r="359">
      <c r="F359" s="16"/>
    </row>
    <row r="360">
      <c r="F360" s="16"/>
    </row>
    <row r="361">
      <c r="F361" s="16"/>
    </row>
    <row r="362">
      <c r="F362" s="16"/>
    </row>
    <row r="363">
      <c r="F363" s="16"/>
    </row>
    <row r="364">
      <c r="F364" s="16"/>
    </row>
    <row r="365">
      <c r="F365" s="16"/>
    </row>
    <row r="366">
      <c r="F366" s="16"/>
    </row>
    <row r="367">
      <c r="F367" s="16"/>
    </row>
    <row r="368">
      <c r="F368" s="16"/>
    </row>
    <row r="369">
      <c r="F369" s="16"/>
    </row>
    <row r="370">
      <c r="F370" s="16"/>
    </row>
    <row r="371">
      <c r="F371" s="16"/>
    </row>
    <row r="372">
      <c r="F372" s="16"/>
    </row>
    <row r="373">
      <c r="F373" s="16"/>
    </row>
    <row r="374">
      <c r="F374" s="16"/>
    </row>
    <row r="375">
      <c r="F375" s="16"/>
    </row>
    <row r="376">
      <c r="F376" s="16"/>
    </row>
    <row r="377">
      <c r="F377" s="16"/>
    </row>
    <row r="378">
      <c r="F378" s="16"/>
    </row>
    <row r="379">
      <c r="F379" s="16"/>
    </row>
    <row r="380">
      <c r="F380" s="16"/>
    </row>
    <row r="381">
      <c r="F381" s="16"/>
    </row>
    <row r="382">
      <c r="F382" s="16"/>
    </row>
    <row r="383">
      <c r="F383" s="16"/>
    </row>
    <row r="384">
      <c r="F384" s="16"/>
    </row>
    <row r="385">
      <c r="F385" s="16"/>
    </row>
    <row r="386">
      <c r="F386" s="16"/>
    </row>
    <row r="387">
      <c r="F387" s="16"/>
    </row>
    <row r="388">
      <c r="F388" s="16"/>
    </row>
    <row r="389">
      <c r="F389" s="16"/>
    </row>
    <row r="390">
      <c r="F390" s="16"/>
    </row>
    <row r="391">
      <c r="F391" s="16"/>
    </row>
    <row r="392">
      <c r="F392" s="16"/>
    </row>
    <row r="393">
      <c r="F393" s="16"/>
    </row>
    <row r="394">
      <c r="F394" s="16"/>
    </row>
    <row r="395">
      <c r="F395" s="16"/>
    </row>
    <row r="396">
      <c r="F396" s="16"/>
    </row>
    <row r="397">
      <c r="F397" s="16"/>
    </row>
    <row r="398">
      <c r="F398" s="16"/>
    </row>
    <row r="399">
      <c r="F399" s="16"/>
    </row>
    <row r="400">
      <c r="F400" s="16"/>
    </row>
    <row r="401">
      <c r="F401" s="16"/>
    </row>
    <row r="402">
      <c r="F402" s="16"/>
    </row>
    <row r="403">
      <c r="F403" s="16"/>
    </row>
    <row r="404">
      <c r="F404" s="16"/>
    </row>
    <row r="405">
      <c r="F405" s="16"/>
    </row>
    <row r="406">
      <c r="F406" s="16"/>
    </row>
    <row r="407">
      <c r="F407" s="16"/>
    </row>
    <row r="408">
      <c r="F408" s="16"/>
    </row>
    <row r="409">
      <c r="F409" s="16"/>
    </row>
    <row r="410">
      <c r="F410" s="16"/>
    </row>
    <row r="411">
      <c r="F411" s="16"/>
    </row>
    <row r="412">
      <c r="F412" s="16"/>
    </row>
    <row r="413">
      <c r="F413" s="16"/>
    </row>
    <row r="414">
      <c r="F414" s="16"/>
    </row>
    <row r="415">
      <c r="F415" s="16"/>
    </row>
    <row r="416">
      <c r="F416" s="16"/>
    </row>
    <row r="417">
      <c r="F417" s="16"/>
    </row>
    <row r="418">
      <c r="F418" s="16"/>
    </row>
    <row r="419">
      <c r="F419" s="16"/>
    </row>
    <row r="420">
      <c r="F420" s="16"/>
    </row>
    <row r="421">
      <c r="F421" s="16"/>
    </row>
    <row r="422">
      <c r="F422" s="16"/>
    </row>
    <row r="423">
      <c r="F423" s="16"/>
    </row>
    <row r="424">
      <c r="F424" s="16"/>
    </row>
    <row r="425">
      <c r="F425" s="16"/>
    </row>
    <row r="426">
      <c r="F426" s="16"/>
    </row>
    <row r="427">
      <c r="F427" s="16"/>
    </row>
    <row r="428">
      <c r="F428" s="16"/>
    </row>
    <row r="429">
      <c r="F429" s="16"/>
    </row>
    <row r="430">
      <c r="F430" s="16"/>
    </row>
    <row r="431">
      <c r="F431" s="16"/>
    </row>
    <row r="432">
      <c r="F432" s="16"/>
    </row>
    <row r="433">
      <c r="F433" s="16"/>
    </row>
    <row r="434">
      <c r="F434" s="16"/>
    </row>
    <row r="435">
      <c r="F435" s="16"/>
    </row>
    <row r="436">
      <c r="F436" s="16"/>
    </row>
    <row r="437">
      <c r="F437" s="16"/>
    </row>
    <row r="438">
      <c r="F438" s="16"/>
    </row>
    <row r="439">
      <c r="F439" s="16"/>
    </row>
    <row r="440">
      <c r="F440" s="16"/>
    </row>
    <row r="441">
      <c r="F441" s="16"/>
    </row>
    <row r="442">
      <c r="F442" s="16"/>
    </row>
    <row r="443">
      <c r="F443" s="16"/>
    </row>
    <row r="444">
      <c r="F444" s="16"/>
    </row>
    <row r="445">
      <c r="F445" s="16"/>
    </row>
    <row r="446">
      <c r="F446" s="16"/>
    </row>
    <row r="447">
      <c r="F447" s="16"/>
    </row>
    <row r="448">
      <c r="F448" s="16"/>
    </row>
    <row r="449">
      <c r="F449" s="16"/>
    </row>
    <row r="450">
      <c r="F450" s="16"/>
    </row>
    <row r="451">
      <c r="F451" s="16"/>
    </row>
    <row r="452">
      <c r="F452" s="16"/>
    </row>
    <row r="453">
      <c r="F453" s="16"/>
    </row>
    <row r="454">
      <c r="F454" s="16"/>
    </row>
    <row r="455">
      <c r="F455" s="16"/>
    </row>
    <row r="456">
      <c r="F456" s="16"/>
    </row>
    <row r="457">
      <c r="F457" s="16"/>
    </row>
    <row r="458">
      <c r="F458" s="16"/>
    </row>
    <row r="459">
      <c r="F459" s="16"/>
    </row>
    <row r="460">
      <c r="F460" s="16"/>
    </row>
    <row r="461">
      <c r="F461" s="16"/>
    </row>
    <row r="462">
      <c r="F462" s="16"/>
    </row>
    <row r="463">
      <c r="F463" s="16"/>
    </row>
    <row r="464">
      <c r="F464" s="16"/>
    </row>
    <row r="465">
      <c r="F465" s="16"/>
    </row>
    <row r="466">
      <c r="F466" s="16"/>
    </row>
    <row r="467">
      <c r="F467" s="16"/>
    </row>
    <row r="468">
      <c r="F468" s="16"/>
    </row>
    <row r="469">
      <c r="F469" s="16"/>
    </row>
    <row r="470">
      <c r="F470" s="16"/>
    </row>
    <row r="471">
      <c r="F471" s="16"/>
    </row>
    <row r="472">
      <c r="F472" s="16"/>
    </row>
    <row r="473">
      <c r="F473" s="16"/>
    </row>
    <row r="474">
      <c r="F474" s="16"/>
    </row>
    <row r="475">
      <c r="F475" s="16"/>
    </row>
    <row r="476">
      <c r="F476" s="16"/>
    </row>
    <row r="477">
      <c r="F477" s="16"/>
    </row>
    <row r="478">
      <c r="F478" s="16"/>
    </row>
    <row r="479">
      <c r="F479" s="16"/>
    </row>
    <row r="480">
      <c r="F480" s="16"/>
    </row>
    <row r="481">
      <c r="F481" s="16"/>
    </row>
    <row r="482">
      <c r="F482" s="16"/>
    </row>
    <row r="483">
      <c r="F483" s="16"/>
    </row>
    <row r="484">
      <c r="F484" s="16"/>
    </row>
    <row r="485">
      <c r="F485" s="16"/>
    </row>
    <row r="486">
      <c r="F486" s="16"/>
    </row>
    <row r="487">
      <c r="F487" s="16"/>
    </row>
    <row r="488">
      <c r="F488" s="16"/>
    </row>
    <row r="489">
      <c r="F489" s="16"/>
    </row>
    <row r="490">
      <c r="F490" s="16"/>
    </row>
    <row r="491">
      <c r="F491" s="16"/>
    </row>
    <row r="492">
      <c r="F492" s="16"/>
    </row>
    <row r="493">
      <c r="F493" s="16"/>
    </row>
    <row r="494">
      <c r="F494" s="16"/>
    </row>
    <row r="495">
      <c r="F495" s="16"/>
    </row>
    <row r="496">
      <c r="F496" s="16"/>
    </row>
    <row r="497">
      <c r="F497" s="16"/>
    </row>
    <row r="498">
      <c r="F498" s="16"/>
    </row>
    <row r="499">
      <c r="F499" s="16"/>
    </row>
    <row r="500">
      <c r="F500" s="16"/>
    </row>
    <row r="501">
      <c r="F501" s="16"/>
    </row>
    <row r="502">
      <c r="F502" s="16"/>
    </row>
    <row r="503">
      <c r="F503" s="16"/>
    </row>
    <row r="504">
      <c r="F504" s="16"/>
    </row>
    <row r="505">
      <c r="F505" s="16"/>
    </row>
    <row r="506">
      <c r="F506" s="16"/>
    </row>
    <row r="507">
      <c r="F507" s="16"/>
    </row>
    <row r="508">
      <c r="F508" s="16"/>
    </row>
    <row r="509">
      <c r="F509" s="16"/>
    </row>
    <row r="510">
      <c r="F510" s="16"/>
    </row>
    <row r="511">
      <c r="F511" s="16"/>
    </row>
    <row r="512">
      <c r="F512" s="16"/>
    </row>
    <row r="513">
      <c r="F513" s="16"/>
    </row>
    <row r="514">
      <c r="F514" s="16"/>
    </row>
    <row r="515">
      <c r="F515" s="16"/>
    </row>
    <row r="516">
      <c r="F516" s="16"/>
    </row>
    <row r="517">
      <c r="F517" s="16"/>
    </row>
    <row r="518">
      <c r="F518" s="16"/>
    </row>
    <row r="519">
      <c r="F519" s="16"/>
    </row>
    <row r="520">
      <c r="F520" s="16"/>
    </row>
    <row r="521">
      <c r="F521" s="16"/>
    </row>
    <row r="522">
      <c r="F522" s="16"/>
    </row>
    <row r="523">
      <c r="F523" s="16"/>
    </row>
    <row r="524">
      <c r="F524" s="16"/>
    </row>
    <row r="525">
      <c r="F525" s="16"/>
    </row>
    <row r="526">
      <c r="F526" s="16"/>
    </row>
    <row r="527">
      <c r="F527" s="16"/>
    </row>
    <row r="528">
      <c r="F528" s="16"/>
    </row>
    <row r="529">
      <c r="F529" s="16"/>
    </row>
    <row r="530">
      <c r="F530" s="16"/>
    </row>
    <row r="531">
      <c r="F531" s="16"/>
    </row>
    <row r="532">
      <c r="F532" s="16"/>
    </row>
    <row r="533">
      <c r="F533" s="16"/>
    </row>
    <row r="534">
      <c r="F534" s="16"/>
    </row>
    <row r="535">
      <c r="F535" s="16"/>
    </row>
    <row r="536">
      <c r="F536" s="16"/>
    </row>
    <row r="537">
      <c r="F537" s="16"/>
    </row>
    <row r="538">
      <c r="F538" s="16"/>
    </row>
    <row r="539">
      <c r="F539" s="16"/>
    </row>
    <row r="540">
      <c r="F540" s="16"/>
    </row>
    <row r="541">
      <c r="F541" s="16"/>
    </row>
    <row r="542">
      <c r="F542" s="16"/>
    </row>
    <row r="543">
      <c r="F543" s="16"/>
    </row>
    <row r="544">
      <c r="F544" s="16"/>
    </row>
    <row r="545">
      <c r="F545" s="16"/>
    </row>
    <row r="546">
      <c r="F546" s="16"/>
    </row>
    <row r="547">
      <c r="F547" s="16"/>
    </row>
    <row r="548">
      <c r="F548" s="16"/>
    </row>
    <row r="549">
      <c r="F549" s="16"/>
    </row>
    <row r="550">
      <c r="F550" s="16"/>
    </row>
    <row r="551">
      <c r="F551" s="16"/>
    </row>
    <row r="552">
      <c r="F552" s="16"/>
    </row>
    <row r="553">
      <c r="F553" s="16"/>
    </row>
    <row r="554">
      <c r="F554" s="16"/>
    </row>
    <row r="555">
      <c r="F555" s="16"/>
    </row>
    <row r="556">
      <c r="F556" s="16"/>
    </row>
    <row r="557">
      <c r="F557" s="16"/>
    </row>
    <row r="558">
      <c r="F558" s="16"/>
    </row>
    <row r="559">
      <c r="F559" s="16"/>
    </row>
    <row r="560">
      <c r="F560" s="16"/>
    </row>
    <row r="561">
      <c r="F561" s="16"/>
    </row>
    <row r="562">
      <c r="F562" s="16"/>
    </row>
    <row r="563">
      <c r="F563" s="16"/>
    </row>
    <row r="564">
      <c r="F564" s="16"/>
    </row>
    <row r="565">
      <c r="F565" s="16"/>
    </row>
    <row r="566">
      <c r="F566" s="16"/>
    </row>
    <row r="567">
      <c r="F567" s="16"/>
    </row>
    <row r="568">
      <c r="F568" s="16"/>
    </row>
    <row r="569">
      <c r="F569" s="16"/>
    </row>
    <row r="570">
      <c r="F570" s="16"/>
    </row>
    <row r="571">
      <c r="F571" s="16"/>
    </row>
    <row r="572">
      <c r="F572" s="16"/>
    </row>
    <row r="573">
      <c r="F573" s="16"/>
    </row>
    <row r="574">
      <c r="F574" s="16"/>
    </row>
    <row r="575">
      <c r="F575" s="16"/>
    </row>
    <row r="576">
      <c r="F576" s="16"/>
    </row>
    <row r="577">
      <c r="F577" s="16"/>
    </row>
    <row r="578">
      <c r="F578" s="16"/>
    </row>
    <row r="579">
      <c r="F579" s="16"/>
    </row>
    <row r="580">
      <c r="F580" s="16"/>
    </row>
    <row r="581">
      <c r="F581" s="16"/>
    </row>
    <row r="582">
      <c r="F582" s="16"/>
    </row>
    <row r="583">
      <c r="F583" s="16"/>
    </row>
    <row r="584">
      <c r="F584" s="16"/>
    </row>
    <row r="585">
      <c r="F585" s="16"/>
    </row>
    <row r="586">
      <c r="F586" s="16"/>
    </row>
    <row r="587">
      <c r="F587" s="16"/>
    </row>
    <row r="588">
      <c r="F588" s="16"/>
    </row>
    <row r="589">
      <c r="F589" s="16"/>
    </row>
    <row r="590">
      <c r="F590" s="16"/>
    </row>
    <row r="591">
      <c r="F591" s="16"/>
    </row>
    <row r="592">
      <c r="F592" s="16"/>
    </row>
    <row r="593">
      <c r="F593" s="16"/>
    </row>
    <row r="594">
      <c r="F594" s="16"/>
    </row>
    <row r="595">
      <c r="F595" s="16"/>
    </row>
    <row r="596">
      <c r="F596" s="16"/>
    </row>
    <row r="597">
      <c r="F597" s="16"/>
    </row>
    <row r="598">
      <c r="F598" s="16"/>
    </row>
    <row r="599">
      <c r="F599" s="16"/>
    </row>
    <row r="600">
      <c r="F600" s="16"/>
    </row>
    <row r="601">
      <c r="F601" s="16"/>
    </row>
    <row r="602">
      <c r="F602" s="16"/>
    </row>
    <row r="603">
      <c r="F603" s="16"/>
    </row>
    <row r="604">
      <c r="F604" s="16"/>
    </row>
    <row r="605">
      <c r="F605" s="16"/>
    </row>
    <row r="606">
      <c r="F606" s="16"/>
    </row>
    <row r="607">
      <c r="F607" s="16"/>
    </row>
    <row r="608">
      <c r="F608" s="16"/>
    </row>
    <row r="609">
      <c r="F609" s="16"/>
    </row>
    <row r="610">
      <c r="F610" s="16"/>
    </row>
    <row r="611">
      <c r="F611" s="16"/>
    </row>
    <row r="612">
      <c r="F612" s="16"/>
    </row>
    <row r="613">
      <c r="F613" s="16"/>
    </row>
    <row r="614">
      <c r="F614" s="16"/>
    </row>
    <row r="615">
      <c r="F615" s="16"/>
    </row>
    <row r="616">
      <c r="F616" s="16"/>
    </row>
    <row r="617">
      <c r="F617" s="16"/>
    </row>
    <row r="618">
      <c r="F618" s="16"/>
    </row>
    <row r="619">
      <c r="F619" s="16"/>
    </row>
    <row r="620">
      <c r="F620" s="16"/>
    </row>
    <row r="621">
      <c r="F621" s="16"/>
    </row>
    <row r="622">
      <c r="F622" s="16"/>
    </row>
    <row r="623">
      <c r="F623" s="16"/>
    </row>
    <row r="624">
      <c r="F624" s="16"/>
    </row>
    <row r="625">
      <c r="F625" s="16"/>
    </row>
    <row r="626">
      <c r="F626" s="16"/>
    </row>
    <row r="627">
      <c r="F627" s="16"/>
    </row>
    <row r="628">
      <c r="F628" s="16"/>
    </row>
    <row r="629">
      <c r="F629" s="16"/>
    </row>
    <row r="630">
      <c r="F630" s="16"/>
    </row>
    <row r="631">
      <c r="F631" s="16"/>
    </row>
    <row r="632">
      <c r="F632" s="16"/>
    </row>
    <row r="633">
      <c r="F633" s="16"/>
    </row>
    <row r="634">
      <c r="F634" s="16"/>
    </row>
    <row r="635">
      <c r="F635" s="16"/>
    </row>
    <row r="636">
      <c r="F636" s="16"/>
    </row>
    <row r="637">
      <c r="F637" s="16"/>
    </row>
    <row r="638">
      <c r="F638" s="16"/>
    </row>
    <row r="639">
      <c r="F639" s="16"/>
    </row>
    <row r="640">
      <c r="F640" s="16"/>
    </row>
    <row r="641">
      <c r="F641" s="16"/>
    </row>
    <row r="642">
      <c r="F642" s="16"/>
    </row>
    <row r="643">
      <c r="F643" s="16"/>
    </row>
    <row r="644">
      <c r="F644" s="16"/>
    </row>
    <row r="645">
      <c r="F645" s="16"/>
    </row>
    <row r="646">
      <c r="F646" s="16"/>
    </row>
    <row r="647">
      <c r="F647" s="16"/>
    </row>
    <row r="648">
      <c r="F648" s="16"/>
    </row>
    <row r="649">
      <c r="F649" s="16"/>
    </row>
    <row r="650">
      <c r="F650" s="16"/>
    </row>
    <row r="651">
      <c r="F651" s="16"/>
    </row>
    <row r="652">
      <c r="F652" s="16"/>
    </row>
    <row r="653">
      <c r="F653" s="16"/>
    </row>
    <row r="654">
      <c r="F654" s="16"/>
    </row>
    <row r="655">
      <c r="F655" s="16"/>
    </row>
    <row r="656">
      <c r="F656" s="16"/>
    </row>
    <row r="657">
      <c r="F657" s="16"/>
    </row>
    <row r="658">
      <c r="F658" s="16"/>
    </row>
    <row r="659">
      <c r="F659" s="16"/>
    </row>
    <row r="660">
      <c r="F660" s="16"/>
    </row>
    <row r="661">
      <c r="F661" s="16"/>
    </row>
    <row r="662">
      <c r="F662" s="16"/>
    </row>
    <row r="663">
      <c r="F663" s="16"/>
    </row>
    <row r="664">
      <c r="F664" s="16"/>
    </row>
    <row r="665">
      <c r="F665" s="16"/>
    </row>
    <row r="666">
      <c r="F666" s="16"/>
    </row>
    <row r="667">
      <c r="F667" s="16"/>
    </row>
    <row r="668">
      <c r="F668" s="16"/>
    </row>
    <row r="669">
      <c r="F669" s="16"/>
    </row>
    <row r="670">
      <c r="F670" s="16"/>
    </row>
    <row r="671">
      <c r="F671" s="16"/>
    </row>
    <row r="672">
      <c r="F672" s="16"/>
    </row>
    <row r="673">
      <c r="F673" s="16"/>
    </row>
    <row r="674">
      <c r="F674" s="16"/>
    </row>
    <row r="675">
      <c r="F675" s="16"/>
    </row>
    <row r="676">
      <c r="F676" s="16"/>
    </row>
    <row r="677">
      <c r="F677" s="16"/>
    </row>
    <row r="678">
      <c r="F678" s="16"/>
    </row>
    <row r="679">
      <c r="F679" s="16"/>
    </row>
    <row r="680">
      <c r="F680" s="16"/>
    </row>
    <row r="681">
      <c r="F681" s="16"/>
    </row>
    <row r="682">
      <c r="F682" s="16"/>
    </row>
    <row r="683">
      <c r="F683" s="16"/>
    </row>
    <row r="684">
      <c r="F684" s="16"/>
    </row>
    <row r="685">
      <c r="F685" s="16"/>
    </row>
    <row r="686">
      <c r="F686" s="16"/>
    </row>
    <row r="687">
      <c r="F687" s="16"/>
    </row>
    <row r="688">
      <c r="F688" s="16"/>
    </row>
    <row r="689">
      <c r="F689" s="16"/>
    </row>
    <row r="690">
      <c r="F690" s="16"/>
    </row>
    <row r="691">
      <c r="F691" s="16"/>
    </row>
    <row r="692">
      <c r="F692" s="16"/>
    </row>
    <row r="693">
      <c r="F693" s="16"/>
    </row>
    <row r="694">
      <c r="F694" s="16"/>
    </row>
    <row r="695">
      <c r="F695" s="16"/>
    </row>
    <row r="696">
      <c r="F696" s="16"/>
    </row>
    <row r="697">
      <c r="F697" s="16"/>
    </row>
    <row r="698">
      <c r="F698" s="16"/>
    </row>
    <row r="699">
      <c r="F699" s="16"/>
    </row>
    <row r="700">
      <c r="F700" s="16"/>
    </row>
    <row r="701">
      <c r="F701" s="16"/>
    </row>
    <row r="702">
      <c r="F702" s="16"/>
    </row>
    <row r="703">
      <c r="F703" s="16"/>
    </row>
    <row r="704">
      <c r="F704" s="16"/>
    </row>
    <row r="705">
      <c r="F705" s="16"/>
    </row>
    <row r="706">
      <c r="F706" s="16"/>
    </row>
    <row r="707">
      <c r="F707" s="16"/>
    </row>
    <row r="708">
      <c r="F708" s="16"/>
    </row>
    <row r="709">
      <c r="F709" s="16"/>
    </row>
    <row r="710">
      <c r="F710" s="16"/>
    </row>
    <row r="711">
      <c r="F711" s="16"/>
    </row>
    <row r="712">
      <c r="F712" s="16"/>
    </row>
    <row r="713">
      <c r="F713" s="16"/>
    </row>
    <row r="714">
      <c r="F714" s="16"/>
    </row>
    <row r="715">
      <c r="F715" s="16"/>
    </row>
    <row r="716">
      <c r="F716" s="16"/>
    </row>
    <row r="717">
      <c r="F717" s="16"/>
    </row>
    <row r="718">
      <c r="F718" s="16"/>
    </row>
    <row r="719">
      <c r="F719" s="16"/>
    </row>
    <row r="720">
      <c r="F720" s="16"/>
    </row>
    <row r="721">
      <c r="F721" s="16"/>
    </row>
    <row r="722">
      <c r="F722" s="16"/>
    </row>
    <row r="723">
      <c r="F723" s="16"/>
    </row>
    <row r="724">
      <c r="F724" s="16"/>
    </row>
    <row r="725">
      <c r="F725" s="16"/>
    </row>
    <row r="726">
      <c r="F726" s="16"/>
    </row>
    <row r="727">
      <c r="F727" s="16"/>
    </row>
    <row r="728">
      <c r="F728" s="16"/>
    </row>
    <row r="729">
      <c r="F729" s="16"/>
    </row>
    <row r="730">
      <c r="F730" s="16"/>
    </row>
    <row r="731">
      <c r="F731" s="16"/>
    </row>
    <row r="732">
      <c r="F732" s="16"/>
    </row>
    <row r="733">
      <c r="F733" s="16"/>
    </row>
    <row r="734">
      <c r="F734" s="16"/>
    </row>
    <row r="735">
      <c r="F735" s="16"/>
    </row>
    <row r="736">
      <c r="F736" s="16"/>
    </row>
    <row r="737">
      <c r="F737" s="16"/>
    </row>
    <row r="738">
      <c r="F738" s="16"/>
    </row>
    <row r="739">
      <c r="F739" s="16"/>
    </row>
    <row r="740">
      <c r="F740" s="16"/>
    </row>
    <row r="741">
      <c r="F741" s="16"/>
    </row>
    <row r="742">
      <c r="F742" s="16"/>
    </row>
    <row r="743">
      <c r="F743" s="16"/>
    </row>
    <row r="744">
      <c r="F744" s="16"/>
    </row>
    <row r="745">
      <c r="F745" s="16"/>
    </row>
    <row r="746">
      <c r="F746" s="16"/>
    </row>
    <row r="747">
      <c r="F747" s="16"/>
    </row>
    <row r="748">
      <c r="F748" s="16"/>
    </row>
    <row r="749">
      <c r="F749" s="16"/>
    </row>
    <row r="750">
      <c r="F750" s="16"/>
    </row>
    <row r="751">
      <c r="F751" s="16"/>
    </row>
    <row r="752">
      <c r="F752" s="16"/>
    </row>
    <row r="753">
      <c r="F753" s="16"/>
    </row>
    <row r="754">
      <c r="F754" s="16"/>
    </row>
    <row r="755">
      <c r="F755" s="16"/>
    </row>
    <row r="756">
      <c r="F756" s="16"/>
    </row>
    <row r="757">
      <c r="F757" s="16"/>
    </row>
    <row r="758">
      <c r="F758" s="16"/>
    </row>
    <row r="759">
      <c r="F759" s="16"/>
    </row>
    <row r="760">
      <c r="F760" s="16"/>
    </row>
    <row r="761">
      <c r="F761" s="16"/>
    </row>
    <row r="762">
      <c r="F762" s="16"/>
    </row>
    <row r="763">
      <c r="F763" s="16"/>
    </row>
    <row r="764">
      <c r="F764" s="16"/>
    </row>
    <row r="765">
      <c r="F765" s="16"/>
    </row>
    <row r="766">
      <c r="F766" s="16"/>
    </row>
    <row r="767">
      <c r="F767" s="16"/>
    </row>
    <row r="768">
      <c r="F768" s="16"/>
    </row>
    <row r="769">
      <c r="F769" s="16"/>
    </row>
    <row r="770">
      <c r="F770" s="16"/>
    </row>
    <row r="771">
      <c r="F771" s="16"/>
    </row>
    <row r="772">
      <c r="F772" s="16"/>
    </row>
    <row r="773">
      <c r="F773" s="16"/>
    </row>
    <row r="774">
      <c r="F774" s="16"/>
    </row>
    <row r="775">
      <c r="F775" s="16"/>
    </row>
    <row r="776">
      <c r="F776" s="16"/>
    </row>
    <row r="777">
      <c r="F777" s="16"/>
    </row>
    <row r="778">
      <c r="F778" s="16"/>
    </row>
    <row r="779">
      <c r="F779" s="16"/>
    </row>
    <row r="780">
      <c r="F780" s="16"/>
    </row>
    <row r="781">
      <c r="F781" s="16"/>
    </row>
    <row r="782">
      <c r="F782" s="16"/>
    </row>
    <row r="783">
      <c r="F783" s="16"/>
    </row>
    <row r="784">
      <c r="F784" s="16"/>
    </row>
    <row r="785">
      <c r="F785" s="16"/>
    </row>
    <row r="786">
      <c r="F786" s="16"/>
    </row>
    <row r="787">
      <c r="F787" s="16"/>
    </row>
    <row r="788">
      <c r="F788" s="16"/>
    </row>
    <row r="789">
      <c r="F789" s="16"/>
    </row>
    <row r="790">
      <c r="F790" s="16"/>
    </row>
    <row r="791">
      <c r="F791" s="16"/>
    </row>
    <row r="792">
      <c r="F792" s="16"/>
    </row>
    <row r="793">
      <c r="F793" s="16"/>
    </row>
    <row r="794">
      <c r="F794" s="16"/>
    </row>
    <row r="795">
      <c r="F795" s="16"/>
    </row>
    <row r="796">
      <c r="F796" s="16"/>
    </row>
    <row r="797">
      <c r="F797" s="16"/>
    </row>
    <row r="798">
      <c r="F798" s="16"/>
    </row>
    <row r="799">
      <c r="F799" s="16"/>
    </row>
    <row r="800">
      <c r="F800" s="16"/>
    </row>
    <row r="801">
      <c r="F801" s="16"/>
    </row>
    <row r="802">
      <c r="F802" s="16"/>
    </row>
    <row r="803">
      <c r="F803" s="16"/>
    </row>
    <row r="804">
      <c r="F804" s="16"/>
    </row>
    <row r="805">
      <c r="F805" s="16"/>
    </row>
    <row r="806">
      <c r="F806" s="16"/>
    </row>
    <row r="807">
      <c r="F807" s="16"/>
    </row>
    <row r="808">
      <c r="F808" s="16"/>
    </row>
    <row r="809">
      <c r="F809" s="16"/>
    </row>
    <row r="810">
      <c r="F810" s="16"/>
    </row>
    <row r="811">
      <c r="F811" s="16"/>
    </row>
    <row r="812">
      <c r="F812" s="16"/>
    </row>
    <row r="813">
      <c r="F813" s="16"/>
    </row>
    <row r="814">
      <c r="F814" s="16"/>
    </row>
    <row r="815">
      <c r="F815" s="16"/>
    </row>
    <row r="816">
      <c r="F816" s="16"/>
    </row>
    <row r="817">
      <c r="F817" s="16"/>
    </row>
    <row r="818">
      <c r="F818" s="16"/>
    </row>
    <row r="819">
      <c r="F819" s="16"/>
    </row>
    <row r="820">
      <c r="F820" s="16"/>
    </row>
    <row r="821">
      <c r="F821" s="16"/>
    </row>
    <row r="822">
      <c r="F822" s="16"/>
    </row>
    <row r="823">
      <c r="F823" s="16"/>
    </row>
    <row r="824">
      <c r="F824" s="16"/>
    </row>
    <row r="825">
      <c r="F825" s="16"/>
    </row>
    <row r="826">
      <c r="F826" s="16"/>
    </row>
    <row r="827">
      <c r="F827" s="16"/>
    </row>
    <row r="828">
      <c r="F828" s="16"/>
    </row>
    <row r="829">
      <c r="F829" s="16"/>
    </row>
    <row r="830">
      <c r="F830" s="16"/>
    </row>
    <row r="831">
      <c r="F831" s="16"/>
    </row>
    <row r="832">
      <c r="F832" s="16"/>
    </row>
    <row r="833">
      <c r="F833" s="16"/>
    </row>
    <row r="834">
      <c r="F834" s="16"/>
    </row>
    <row r="835">
      <c r="F835" s="16"/>
    </row>
    <row r="836">
      <c r="F836" s="16"/>
    </row>
    <row r="837">
      <c r="F837" s="16"/>
    </row>
    <row r="838">
      <c r="F838" s="16"/>
    </row>
    <row r="839">
      <c r="F839" s="16"/>
    </row>
    <row r="840">
      <c r="F840" s="16"/>
    </row>
    <row r="841">
      <c r="F841" s="16"/>
    </row>
    <row r="842">
      <c r="F842" s="16"/>
    </row>
    <row r="843">
      <c r="F843" s="16"/>
    </row>
    <row r="844">
      <c r="F844" s="16"/>
    </row>
    <row r="845">
      <c r="F845" s="16"/>
    </row>
    <row r="846">
      <c r="F846" s="16"/>
    </row>
    <row r="847">
      <c r="F847" s="16"/>
    </row>
    <row r="848">
      <c r="F848" s="16"/>
    </row>
    <row r="849">
      <c r="F849" s="16"/>
    </row>
    <row r="850">
      <c r="F850" s="16"/>
    </row>
    <row r="851">
      <c r="F851" s="16"/>
    </row>
    <row r="852">
      <c r="F852" s="16"/>
    </row>
    <row r="853">
      <c r="F853" s="16"/>
    </row>
    <row r="854">
      <c r="F854" s="16"/>
    </row>
    <row r="855">
      <c r="F855" s="16"/>
    </row>
    <row r="856">
      <c r="F856" s="16"/>
    </row>
    <row r="857">
      <c r="F857" s="16"/>
    </row>
    <row r="858">
      <c r="F858" s="16"/>
    </row>
    <row r="859">
      <c r="F859" s="16"/>
    </row>
    <row r="860">
      <c r="F860" s="16"/>
    </row>
    <row r="861">
      <c r="F861" s="16"/>
    </row>
    <row r="862">
      <c r="F862" s="16"/>
    </row>
    <row r="863">
      <c r="F863" s="16"/>
    </row>
    <row r="864">
      <c r="F864" s="16"/>
    </row>
    <row r="865">
      <c r="F865" s="16"/>
    </row>
    <row r="866">
      <c r="F866" s="16"/>
    </row>
    <row r="867">
      <c r="F867" s="16"/>
    </row>
    <row r="868">
      <c r="F868" s="16"/>
    </row>
    <row r="869">
      <c r="F869" s="16"/>
    </row>
    <row r="870">
      <c r="F870" s="16"/>
    </row>
    <row r="871">
      <c r="F871" s="16"/>
    </row>
    <row r="872">
      <c r="F872" s="16"/>
    </row>
    <row r="873">
      <c r="F873" s="16"/>
    </row>
    <row r="874">
      <c r="F874" s="16"/>
    </row>
    <row r="875">
      <c r="F875" s="16"/>
    </row>
    <row r="876">
      <c r="F876" s="16"/>
    </row>
    <row r="877">
      <c r="F877" s="16"/>
    </row>
    <row r="878">
      <c r="F878" s="16"/>
    </row>
    <row r="879">
      <c r="F879" s="16"/>
    </row>
    <row r="880">
      <c r="F880" s="16"/>
    </row>
    <row r="881">
      <c r="F881" s="16"/>
    </row>
    <row r="882">
      <c r="F882" s="16"/>
    </row>
    <row r="883">
      <c r="F883" s="16"/>
    </row>
    <row r="884">
      <c r="F884" s="16"/>
    </row>
    <row r="885">
      <c r="F885" s="16"/>
    </row>
    <row r="886">
      <c r="F886" s="16"/>
    </row>
    <row r="887">
      <c r="F887" s="16"/>
    </row>
    <row r="888">
      <c r="F888" s="16"/>
    </row>
    <row r="889">
      <c r="F889" s="16"/>
    </row>
    <row r="890">
      <c r="F890" s="16"/>
    </row>
    <row r="891">
      <c r="F891" s="16"/>
    </row>
    <row r="892">
      <c r="F892" s="16"/>
    </row>
    <row r="893">
      <c r="F893" s="16"/>
    </row>
    <row r="894">
      <c r="F894" s="16"/>
    </row>
    <row r="895">
      <c r="F895" s="16"/>
    </row>
    <row r="896">
      <c r="F896" s="16"/>
    </row>
    <row r="897">
      <c r="F897" s="16"/>
    </row>
    <row r="898">
      <c r="F898" s="16"/>
    </row>
    <row r="899">
      <c r="F899" s="16"/>
    </row>
    <row r="900">
      <c r="F900" s="16"/>
    </row>
    <row r="901">
      <c r="F901" s="16"/>
    </row>
    <row r="902">
      <c r="F902" s="16"/>
    </row>
    <row r="903">
      <c r="F903" s="16"/>
    </row>
    <row r="904">
      <c r="F904" s="16"/>
    </row>
    <row r="905">
      <c r="F905" s="16"/>
    </row>
    <row r="906">
      <c r="F906" s="16"/>
    </row>
    <row r="907">
      <c r="F907" s="16"/>
    </row>
    <row r="908">
      <c r="F908" s="16"/>
    </row>
    <row r="909">
      <c r="F909" s="16"/>
    </row>
    <row r="910">
      <c r="F910" s="16"/>
    </row>
    <row r="911">
      <c r="F911" s="16"/>
    </row>
    <row r="912">
      <c r="F912" s="16"/>
    </row>
    <row r="913">
      <c r="F913" s="16"/>
    </row>
    <row r="914">
      <c r="F914" s="16"/>
    </row>
    <row r="915">
      <c r="F915" s="16"/>
    </row>
    <row r="916">
      <c r="F916" s="16"/>
    </row>
    <row r="917">
      <c r="F917" s="16"/>
    </row>
    <row r="918">
      <c r="F918" s="16"/>
    </row>
    <row r="919">
      <c r="F919" s="16"/>
    </row>
    <row r="920">
      <c r="F920" s="16"/>
    </row>
    <row r="921">
      <c r="F921" s="16"/>
    </row>
    <row r="922">
      <c r="F922" s="16"/>
    </row>
    <row r="923">
      <c r="F923" s="16"/>
    </row>
    <row r="924">
      <c r="F924" s="16"/>
    </row>
    <row r="925">
      <c r="F925" s="16"/>
    </row>
    <row r="926">
      <c r="F926" s="16"/>
    </row>
    <row r="927">
      <c r="F927" s="16"/>
    </row>
    <row r="928">
      <c r="F928" s="16"/>
    </row>
    <row r="929">
      <c r="F929" s="16"/>
    </row>
    <row r="930">
      <c r="F930" s="16"/>
    </row>
    <row r="931">
      <c r="F931" s="16"/>
    </row>
    <row r="932">
      <c r="F932" s="16"/>
    </row>
    <row r="933">
      <c r="F933" s="16"/>
    </row>
    <row r="934">
      <c r="F934" s="16"/>
    </row>
    <row r="935">
      <c r="F935" s="16"/>
    </row>
    <row r="936">
      <c r="F936" s="16"/>
    </row>
    <row r="937">
      <c r="F937" s="16"/>
    </row>
    <row r="938">
      <c r="F938" s="16"/>
    </row>
    <row r="939">
      <c r="F939" s="16"/>
    </row>
    <row r="940">
      <c r="F940" s="16"/>
    </row>
    <row r="941">
      <c r="F941" s="16"/>
    </row>
    <row r="942">
      <c r="F942" s="16"/>
    </row>
    <row r="943">
      <c r="F943" s="16"/>
    </row>
    <row r="944">
      <c r="F944" s="16"/>
    </row>
    <row r="945">
      <c r="F945" s="16"/>
    </row>
    <row r="946">
      <c r="F946" s="16"/>
    </row>
    <row r="947">
      <c r="F947" s="16"/>
    </row>
    <row r="948">
      <c r="F948" s="16"/>
    </row>
    <row r="949">
      <c r="F949" s="16"/>
    </row>
    <row r="950">
      <c r="F950" s="16"/>
    </row>
    <row r="951">
      <c r="F951" s="16"/>
    </row>
    <row r="952">
      <c r="F952" s="16"/>
    </row>
    <row r="953">
      <c r="F953" s="16"/>
    </row>
    <row r="954">
      <c r="F954" s="16"/>
    </row>
    <row r="955">
      <c r="F955" s="16"/>
    </row>
    <row r="956">
      <c r="F956" s="16"/>
    </row>
    <row r="957">
      <c r="F957" s="16"/>
    </row>
    <row r="958">
      <c r="F958" s="16"/>
    </row>
    <row r="959">
      <c r="F959" s="16"/>
    </row>
    <row r="960">
      <c r="F960" s="16"/>
    </row>
    <row r="961">
      <c r="F961" s="16"/>
    </row>
    <row r="962">
      <c r="F962" s="16"/>
    </row>
    <row r="963">
      <c r="F963" s="16"/>
    </row>
    <row r="964">
      <c r="F964" s="16"/>
    </row>
    <row r="965">
      <c r="F965" s="16"/>
    </row>
    <row r="966">
      <c r="F966" s="16"/>
    </row>
    <row r="967">
      <c r="F967" s="16"/>
    </row>
    <row r="968">
      <c r="F968" s="16"/>
    </row>
    <row r="969">
      <c r="F969" s="16"/>
    </row>
    <row r="970">
      <c r="F970" s="16"/>
    </row>
    <row r="971">
      <c r="F971" s="16"/>
    </row>
    <row r="972">
      <c r="F972" s="16"/>
    </row>
    <row r="973">
      <c r="F973" s="16"/>
    </row>
    <row r="974">
      <c r="F974" s="16"/>
    </row>
    <row r="975">
      <c r="F975" s="16"/>
    </row>
    <row r="976">
      <c r="F976" s="16"/>
    </row>
    <row r="977">
      <c r="F977" s="16"/>
    </row>
    <row r="978">
      <c r="F978" s="16"/>
    </row>
    <row r="979">
      <c r="F979" s="16"/>
    </row>
    <row r="980">
      <c r="F980" s="16"/>
    </row>
    <row r="981">
      <c r="F981" s="16"/>
    </row>
    <row r="982">
      <c r="F982" s="16"/>
    </row>
    <row r="983">
      <c r="F983" s="16"/>
    </row>
    <row r="984">
      <c r="F984" s="16"/>
    </row>
    <row r="985">
      <c r="F985" s="16"/>
    </row>
    <row r="986">
      <c r="F986" s="16"/>
    </row>
    <row r="987">
      <c r="F987" s="16"/>
    </row>
    <row r="988">
      <c r="F988" s="16"/>
    </row>
    <row r="989">
      <c r="F989" s="16"/>
    </row>
    <row r="990">
      <c r="F990" s="16"/>
    </row>
    <row r="991">
      <c r="F991" s="16"/>
    </row>
    <row r="992">
      <c r="F992" s="16"/>
    </row>
    <row r="993">
      <c r="F993" s="16"/>
    </row>
    <row r="994">
      <c r="F994" s="16"/>
    </row>
    <row r="995">
      <c r="F995" s="16"/>
    </row>
    <row r="996">
      <c r="F996" s="16"/>
    </row>
    <row r="997">
      <c r="F997" s="16"/>
    </row>
    <row r="998">
      <c r="F998" s="16"/>
    </row>
    <row r="999">
      <c r="F999" s="16"/>
    </row>
    <row r="1000">
      <c r="F1000" s="16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25"/>
    <col customWidth="1" min="2" max="2" width="23.13"/>
    <col customWidth="1" min="3" max="3" width="15.5"/>
    <col customWidth="1" min="4" max="4" width="14.63"/>
    <col customWidth="1" min="5" max="5" width="13.75"/>
    <col customWidth="1" min="6" max="6" width="24.13"/>
    <col customWidth="1" min="7" max="7" width="13.75"/>
  </cols>
  <sheetData>
    <row r="1"/>
    <row r="2"/>
    <row r="3"/>
    <row r="4"/>
    <row r="5"/>
    <row r="6"/>
    <row r="7"/>
  </sheetData>
  <drawing r:id="rId2"/>
</worksheet>
</file>