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_campaigns_analysis.xlsx" sheetId="1" r:id="rId5"/>
  </sheets>
  <definedNames/>
  <calcPr/>
</workbook>
</file>

<file path=xl/sharedStrings.xml><?xml version="1.0" encoding="utf-8"?>
<sst xmlns="http://schemas.openxmlformats.org/spreadsheetml/2006/main" count="130" uniqueCount="83">
  <si>
    <t>Campaign_ID</t>
  </si>
  <si>
    <t>Campaign_Name</t>
  </si>
  <si>
    <t>Send_Date</t>
  </si>
  <si>
    <t>Day_of_Week</t>
  </si>
  <si>
    <t>Segment</t>
  </si>
  <si>
    <t>Subject_Line_Type</t>
  </si>
  <si>
    <t>Emails_Sent</t>
  </si>
  <si>
    <t>Opens</t>
  </si>
  <si>
    <t>Clicks</t>
  </si>
  <si>
    <t>Bounces</t>
  </si>
  <si>
    <t>Unsubscribes</t>
  </si>
  <si>
    <t>Conversions</t>
  </si>
  <si>
    <t>Revenue</t>
  </si>
  <si>
    <t>Open_Rate</t>
  </si>
  <si>
    <t>CTR</t>
  </si>
  <si>
    <t>Click_to_Open</t>
  </si>
  <si>
    <t>Conversion_Rate</t>
  </si>
  <si>
    <t>Revenue_Per_Email</t>
  </si>
  <si>
    <t>Revenue_Per_Conversion</t>
  </si>
  <si>
    <t>CAMP_001</t>
  </si>
  <si>
    <t>Summer Sale Launch</t>
  </si>
  <si>
    <t>Tuesday</t>
  </si>
  <si>
    <t>Engaged Customers</t>
  </si>
  <si>
    <t>Discount Offer</t>
  </si>
  <si>
    <t>CAMP_002</t>
  </si>
  <si>
    <t>Product Newsletter</t>
  </si>
  <si>
    <t>New Subscribers</t>
  </si>
  <si>
    <t>Educational</t>
  </si>
  <si>
    <t>CAMP_003</t>
  </si>
  <si>
    <t>Flash Sale 24hrs</t>
  </si>
  <si>
    <t>19/08/2025</t>
  </si>
  <si>
    <t>VIP Customers</t>
  </si>
  <si>
    <t>Urgency</t>
  </si>
  <si>
    <t>CAMP_004</t>
  </si>
  <si>
    <t>Welcome Series</t>
  </si>
  <si>
    <t>26/08/2025</t>
  </si>
  <si>
    <t>Welcome</t>
  </si>
  <si>
    <t>CAMP_005</t>
  </si>
  <si>
    <t>Weekend Special</t>
  </si>
  <si>
    <t>CAMP_006</t>
  </si>
  <si>
    <t>Product Launch</t>
  </si>
  <si>
    <t>All Subscribers</t>
  </si>
  <si>
    <t>Product Announcement</t>
  </si>
  <si>
    <t>CAMP_007</t>
  </si>
  <si>
    <t>Re-engagement</t>
  </si>
  <si>
    <t>16/09/2025</t>
  </si>
  <si>
    <t>Inactive</t>
  </si>
  <si>
    <t>Win-back</t>
  </si>
  <si>
    <t>CAMP_008</t>
  </si>
  <si>
    <t>Monthly Tips</t>
  </si>
  <si>
    <t>23/09/2025</t>
  </si>
  <si>
    <t>CAMP_009</t>
  </si>
  <si>
    <t>VIP Exclusive</t>
  </si>
  <si>
    <t>30/09/2025</t>
  </si>
  <si>
    <t>Exclusive Offer</t>
  </si>
  <si>
    <t>CAMP_010</t>
  </si>
  <si>
    <t>Fall Collection</t>
  </si>
  <si>
    <t>CAMP_011</t>
  </si>
  <si>
    <t>Flash Friday</t>
  </si>
  <si>
    <t>14/10/2025</t>
  </si>
  <si>
    <t>CAMP_012</t>
  </si>
  <si>
    <t>Customer Stories</t>
  </si>
  <si>
    <t>21/10/2025</t>
  </si>
  <si>
    <t>CAMP_013</t>
  </si>
  <si>
    <t>Halloween Sale</t>
  </si>
  <si>
    <t>28/10/2025</t>
  </si>
  <si>
    <t>CAMP_014</t>
  </si>
  <si>
    <t>November Newsletter</t>
  </si>
  <si>
    <t>CAMP_015</t>
  </si>
  <si>
    <t>Black Friday Preview</t>
  </si>
  <si>
    <t>CAMP_016</t>
  </si>
  <si>
    <t>Black Friday</t>
  </si>
  <si>
    <t>25/11/2025</t>
  </si>
  <si>
    <t>CAMP_017</t>
  </si>
  <si>
    <t>Cyber Monday</t>
  </si>
  <si>
    <t>CAMP_018</t>
  </si>
  <si>
    <t>Holiday Gift Guide</t>
  </si>
  <si>
    <t>CAMP_019</t>
  </si>
  <si>
    <t>Last Minute Gifts</t>
  </si>
  <si>
    <t>16/12/2025</t>
  </si>
  <si>
    <t>CAMP_020</t>
  </si>
  <si>
    <t>Year End Sale</t>
  </si>
  <si>
    <t>30/12/2025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</si>
</sst>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[$£-809]#,##0.00"/>
    <numFmt numFmtId="166" formatCode="m/d/yyyy"/>
    <numFmt numFmtId="167" formatCode="[$£]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  <c r="U1" s="1"/>
      <c r="V1" s="1"/>
      <c r="W1" s="1"/>
      <c r="X1" s="1"/>
      <c r="Y1" s="1"/>
      <c r="Z1" s="1"/>
    </row>
    <row r="2">
      <c r="A2" s="1" t="s">
        <v>19</v>
      </c>
      <c r="B2" s="1" t="s">
        <v>20</v>
      </c>
      <c r="C2" s="3">
        <v>45785.0</v>
      </c>
      <c r="D2" s="1" t="s">
        <v>21</v>
      </c>
      <c r="E2" s="1" t="s">
        <v>22</v>
      </c>
      <c r="F2" s="1" t="s">
        <v>23</v>
      </c>
      <c r="G2" s="4">
        <v>45000.0</v>
      </c>
      <c r="H2" s="4">
        <v>13500.0</v>
      </c>
      <c r="I2" s="4">
        <v>3375.0</v>
      </c>
      <c r="J2" s="4">
        <v>450.0</v>
      </c>
      <c r="K2" s="4">
        <v>90.0</v>
      </c>
      <c r="L2" s="4">
        <v>338.0</v>
      </c>
      <c r="M2" s="4">
        <v>33800.0</v>
      </c>
      <c r="N2" s="5">
        <f t="shared" ref="N2:O2" si="1">(H2/G2)</f>
        <v>0.3</v>
      </c>
      <c r="O2" s="5">
        <f t="shared" si="1"/>
        <v>0.25</v>
      </c>
      <c r="P2" s="5">
        <f t="shared" ref="P2:P21" si="3">(I2/G2)</f>
        <v>0.075</v>
      </c>
      <c r="Q2" s="5">
        <f t="shared" ref="Q2:Q21" si="4">(L2/I2)</f>
        <v>0.1001481481</v>
      </c>
      <c r="R2" s="6">
        <f t="shared" ref="R2:R21" si="5">M2/G2</f>
        <v>0.7511111111</v>
      </c>
      <c r="S2" s="6">
        <f t="shared" ref="S2:S21" si="6">M2/L2</f>
        <v>100</v>
      </c>
      <c r="T2" s="1"/>
      <c r="U2" s="1"/>
      <c r="V2" s="1"/>
      <c r="W2" s="1"/>
      <c r="X2" s="1"/>
      <c r="Y2" s="1"/>
      <c r="Z2" s="1"/>
    </row>
    <row r="3">
      <c r="A3" s="1" t="s">
        <v>24</v>
      </c>
      <c r="B3" s="1" t="s">
        <v>25</v>
      </c>
      <c r="C3" s="3">
        <v>45999.0</v>
      </c>
      <c r="D3" s="1" t="s">
        <v>21</v>
      </c>
      <c r="E3" s="1" t="s">
        <v>26</v>
      </c>
      <c r="F3" s="1" t="s">
        <v>27</v>
      </c>
      <c r="G3" s="4">
        <v>25000.0</v>
      </c>
      <c r="H3" s="4">
        <v>6250.0</v>
      </c>
      <c r="I3" s="4">
        <v>1250.0</v>
      </c>
      <c r="J3" s="4">
        <v>250.0</v>
      </c>
      <c r="K3" s="4">
        <v>50.0</v>
      </c>
      <c r="L3" s="4">
        <v>94.0</v>
      </c>
      <c r="M3" s="4">
        <v>9400.0</v>
      </c>
      <c r="N3" s="5">
        <f t="shared" ref="N3:O3" si="2">(H3/G3)</f>
        <v>0.25</v>
      </c>
      <c r="O3" s="5">
        <f t="shared" si="2"/>
        <v>0.2</v>
      </c>
      <c r="P3" s="5">
        <f t="shared" si="3"/>
        <v>0.05</v>
      </c>
      <c r="Q3" s="5">
        <f t="shared" si="4"/>
        <v>0.0752</v>
      </c>
      <c r="R3" s="6">
        <f t="shared" si="5"/>
        <v>0.376</v>
      </c>
      <c r="S3" s="6">
        <f t="shared" si="6"/>
        <v>100</v>
      </c>
      <c r="T3" s="1"/>
      <c r="U3" s="1"/>
      <c r="V3" s="1"/>
      <c r="W3" s="1"/>
      <c r="X3" s="1"/>
      <c r="Y3" s="1"/>
      <c r="Z3" s="1"/>
    </row>
    <row r="4">
      <c r="A4" s="1" t="s">
        <v>28</v>
      </c>
      <c r="B4" s="1" t="s">
        <v>29</v>
      </c>
      <c r="C4" s="1" t="s">
        <v>30</v>
      </c>
      <c r="D4" s="1" t="s">
        <v>21</v>
      </c>
      <c r="E4" s="1" t="s">
        <v>31</v>
      </c>
      <c r="F4" s="1" t="s">
        <v>32</v>
      </c>
      <c r="G4" s="4">
        <v>15000.0</v>
      </c>
      <c r="H4" s="4">
        <v>5250.0</v>
      </c>
      <c r="I4" s="4">
        <v>1575.0</v>
      </c>
      <c r="J4" s="4">
        <v>150.0</v>
      </c>
      <c r="K4" s="4">
        <v>30.0</v>
      </c>
      <c r="L4" s="4">
        <v>189.0</v>
      </c>
      <c r="M4" s="4">
        <v>37800.0</v>
      </c>
      <c r="N4" s="5">
        <f t="shared" ref="N4:O4" si="7">(H4/G4)</f>
        <v>0.35</v>
      </c>
      <c r="O4" s="5">
        <f t="shared" si="7"/>
        <v>0.3</v>
      </c>
      <c r="P4" s="5">
        <f t="shared" si="3"/>
        <v>0.105</v>
      </c>
      <c r="Q4" s="5">
        <f t="shared" si="4"/>
        <v>0.12</v>
      </c>
      <c r="R4" s="6">
        <f t="shared" si="5"/>
        <v>2.52</v>
      </c>
      <c r="S4" s="6">
        <f t="shared" si="6"/>
        <v>200</v>
      </c>
      <c r="T4" s="1"/>
      <c r="U4" s="1"/>
      <c r="V4" s="1"/>
      <c r="W4" s="1"/>
      <c r="X4" s="1"/>
      <c r="Y4" s="1"/>
      <c r="Z4" s="1"/>
    </row>
    <row r="5">
      <c r="A5" s="1" t="s">
        <v>33</v>
      </c>
      <c r="B5" s="1" t="s">
        <v>34</v>
      </c>
      <c r="C5" s="1" t="s">
        <v>35</v>
      </c>
      <c r="D5" s="1" t="s">
        <v>21</v>
      </c>
      <c r="E5" s="1" t="s">
        <v>26</v>
      </c>
      <c r="F5" s="1" t="s">
        <v>36</v>
      </c>
      <c r="G5" s="4">
        <v>30000.0</v>
      </c>
      <c r="H5" s="4">
        <v>10500.0</v>
      </c>
      <c r="I5" s="4">
        <v>2100.0</v>
      </c>
      <c r="J5" s="4">
        <v>300.0</v>
      </c>
      <c r="K5" s="4">
        <v>60.0</v>
      </c>
      <c r="L5" s="4">
        <v>147.0</v>
      </c>
      <c r="M5" s="4">
        <v>14700.0</v>
      </c>
      <c r="N5" s="5">
        <f t="shared" ref="N5:O5" si="8">(H5/G5)</f>
        <v>0.35</v>
      </c>
      <c r="O5" s="5">
        <f t="shared" si="8"/>
        <v>0.2</v>
      </c>
      <c r="P5" s="5">
        <f t="shared" si="3"/>
        <v>0.07</v>
      </c>
      <c r="Q5" s="5">
        <f t="shared" si="4"/>
        <v>0.07</v>
      </c>
      <c r="R5" s="6">
        <f t="shared" si="5"/>
        <v>0.49</v>
      </c>
      <c r="S5" s="6">
        <f t="shared" si="6"/>
        <v>100</v>
      </c>
      <c r="T5" s="1"/>
      <c r="U5" s="1"/>
      <c r="V5" s="1"/>
      <c r="W5" s="1"/>
      <c r="X5" s="1"/>
      <c r="Y5" s="1"/>
      <c r="Z5" s="1"/>
    </row>
    <row r="6">
      <c r="A6" s="1" t="s">
        <v>37</v>
      </c>
      <c r="B6" s="1" t="s">
        <v>38</v>
      </c>
      <c r="C6" s="3">
        <v>45697.0</v>
      </c>
      <c r="D6" s="1" t="s">
        <v>21</v>
      </c>
      <c r="E6" s="1" t="s">
        <v>22</v>
      </c>
      <c r="F6" s="1" t="s">
        <v>23</v>
      </c>
      <c r="G6" s="4">
        <v>40000.0</v>
      </c>
      <c r="H6" s="4">
        <v>11200.0</v>
      </c>
      <c r="I6" s="4">
        <v>2800.0</v>
      </c>
      <c r="J6" s="4">
        <v>400.0</v>
      </c>
      <c r="K6" s="4">
        <v>80.0</v>
      </c>
      <c r="L6" s="4">
        <v>280.0</v>
      </c>
      <c r="M6" s="4">
        <v>28000.0</v>
      </c>
      <c r="N6" s="5">
        <f t="shared" ref="N6:O6" si="9">(H6/G6)</f>
        <v>0.28</v>
      </c>
      <c r="O6" s="5">
        <f t="shared" si="9"/>
        <v>0.25</v>
      </c>
      <c r="P6" s="5">
        <f t="shared" si="3"/>
        <v>0.07</v>
      </c>
      <c r="Q6" s="5">
        <f t="shared" si="4"/>
        <v>0.1</v>
      </c>
      <c r="R6" s="6">
        <f t="shared" si="5"/>
        <v>0.7</v>
      </c>
      <c r="S6" s="6">
        <f t="shared" si="6"/>
        <v>100</v>
      </c>
      <c r="T6" s="1"/>
      <c r="U6" s="1"/>
      <c r="V6" s="1"/>
      <c r="W6" s="1"/>
      <c r="X6" s="1"/>
      <c r="Y6" s="1"/>
      <c r="Z6" s="1"/>
    </row>
    <row r="7">
      <c r="A7" s="1" t="s">
        <v>39</v>
      </c>
      <c r="B7" s="1" t="s">
        <v>40</v>
      </c>
      <c r="C7" s="3">
        <v>45909.0</v>
      </c>
      <c r="D7" s="1" t="s">
        <v>21</v>
      </c>
      <c r="E7" s="1" t="s">
        <v>41</v>
      </c>
      <c r="F7" s="1" t="s">
        <v>42</v>
      </c>
      <c r="G7" s="4">
        <v>60000.0</v>
      </c>
      <c r="H7" s="4">
        <v>15000.0</v>
      </c>
      <c r="I7" s="4">
        <v>3000.0</v>
      </c>
      <c r="J7" s="4">
        <v>600.0</v>
      </c>
      <c r="K7" s="4">
        <v>120.0</v>
      </c>
      <c r="L7" s="4">
        <v>240.0</v>
      </c>
      <c r="M7" s="4">
        <v>48000.0</v>
      </c>
      <c r="N7" s="5">
        <f t="shared" ref="N7:O7" si="10">(H7/G7)</f>
        <v>0.25</v>
      </c>
      <c r="O7" s="5">
        <f t="shared" si="10"/>
        <v>0.2</v>
      </c>
      <c r="P7" s="5">
        <f t="shared" si="3"/>
        <v>0.05</v>
      </c>
      <c r="Q7" s="5">
        <f t="shared" si="4"/>
        <v>0.08</v>
      </c>
      <c r="R7" s="6">
        <f t="shared" si="5"/>
        <v>0.8</v>
      </c>
      <c r="S7" s="6">
        <f t="shared" si="6"/>
        <v>200</v>
      </c>
      <c r="T7" s="1"/>
      <c r="U7" s="1"/>
      <c r="V7" s="1"/>
      <c r="W7" s="1"/>
      <c r="X7" s="1"/>
      <c r="Y7" s="1"/>
      <c r="Z7" s="1"/>
    </row>
    <row r="8">
      <c r="A8" s="1" t="s">
        <v>43</v>
      </c>
      <c r="B8" s="1" t="s">
        <v>44</v>
      </c>
      <c r="C8" s="1" t="s">
        <v>45</v>
      </c>
      <c r="D8" s="1" t="s">
        <v>21</v>
      </c>
      <c r="E8" s="1" t="s">
        <v>46</v>
      </c>
      <c r="F8" s="1" t="s">
        <v>47</v>
      </c>
      <c r="G8" s="4">
        <v>35000.0</v>
      </c>
      <c r="H8" s="4">
        <v>7000.0</v>
      </c>
      <c r="I8" s="4">
        <v>1400.0</v>
      </c>
      <c r="J8" s="4">
        <v>350.0</v>
      </c>
      <c r="K8" s="4">
        <v>175.0</v>
      </c>
      <c r="L8" s="4">
        <v>98.0</v>
      </c>
      <c r="M8" s="4">
        <v>9800.0</v>
      </c>
      <c r="N8" s="5">
        <f t="shared" ref="N8:O8" si="11">(H8/G8)</f>
        <v>0.2</v>
      </c>
      <c r="O8" s="5">
        <f t="shared" si="11"/>
        <v>0.2</v>
      </c>
      <c r="P8" s="5">
        <f t="shared" si="3"/>
        <v>0.04</v>
      </c>
      <c r="Q8" s="5">
        <f t="shared" si="4"/>
        <v>0.07</v>
      </c>
      <c r="R8" s="6">
        <f t="shared" si="5"/>
        <v>0.28</v>
      </c>
      <c r="S8" s="6">
        <f t="shared" si="6"/>
        <v>100</v>
      </c>
      <c r="T8" s="1"/>
      <c r="U8" s="1"/>
      <c r="V8" s="1"/>
      <c r="W8" s="1"/>
      <c r="X8" s="1"/>
      <c r="Y8" s="1"/>
      <c r="Z8" s="1"/>
    </row>
    <row r="9">
      <c r="A9" s="1" t="s">
        <v>48</v>
      </c>
      <c r="B9" s="1" t="s">
        <v>49</v>
      </c>
      <c r="C9" s="1" t="s">
        <v>50</v>
      </c>
      <c r="D9" s="1" t="s">
        <v>21</v>
      </c>
      <c r="E9" s="1" t="s">
        <v>22</v>
      </c>
      <c r="F9" s="1" t="s">
        <v>27</v>
      </c>
      <c r="G9" s="4">
        <v>42000.0</v>
      </c>
      <c r="H9" s="4">
        <v>14700.0</v>
      </c>
      <c r="I9" s="4">
        <v>2940.0</v>
      </c>
      <c r="J9" s="4">
        <v>420.0</v>
      </c>
      <c r="K9" s="4">
        <v>84.0</v>
      </c>
      <c r="L9" s="4">
        <v>206.0</v>
      </c>
      <c r="M9" s="4">
        <v>20600.0</v>
      </c>
      <c r="N9" s="5">
        <f t="shared" ref="N9:O9" si="12">(H9/G9)</f>
        <v>0.35</v>
      </c>
      <c r="O9" s="5">
        <f t="shared" si="12"/>
        <v>0.2</v>
      </c>
      <c r="P9" s="5">
        <f t="shared" si="3"/>
        <v>0.07</v>
      </c>
      <c r="Q9" s="5">
        <f t="shared" si="4"/>
        <v>0.07006802721</v>
      </c>
      <c r="R9" s="6">
        <f t="shared" si="5"/>
        <v>0.4904761905</v>
      </c>
      <c r="S9" s="6">
        <f t="shared" si="6"/>
        <v>100</v>
      </c>
      <c r="T9" s="1"/>
      <c r="U9" s="1"/>
      <c r="V9" s="1"/>
      <c r="W9" s="1"/>
      <c r="X9" s="1"/>
      <c r="Y9" s="1"/>
      <c r="Z9" s="1"/>
    </row>
    <row r="10">
      <c r="A10" s="1" t="s">
        <v>51</v>
      </c>
      <c r="B10" s="1" t="s">
        <v>52</v>
      </c>
      <c r="C10" s="1" t="s">
        <v>53</v>
      </c>
      <c r="D10" s="1" t="s">
        <v>21</v>
      </c>
      <c r="E10" s="1" t="s">
        <v>31</v>
      </c>
      <c r="F10" s="1" t="s">
        <v>54</v>
      </c>
      <c r="G10" s="4">
        <v>18000.0</v>
      </c>
      <c r="H10" s="4">
        <v>6480.0</v>
      </c>
      <c r="I10" s="4">
        <v>1944.0</v>
      </c>
      <c r="J10" s="4">
        <v>180.0</v>
      </c>
      <c r="K10" s="4">
        <v>36.0</v>
      </c>
      <c r="L10" s="4">
        <v>233.0</v>
      </c>
      <c r="M10" s="4">
        <v>46600.0</v>
      </c>
      <c r="N10" s="5">
        <f t="shared" ref="N10:O10" si="13">(H10/G10)</f>
        <v>0.36</v>
      </c>
      <c r="O10" s="5">
        <f t="shared" si="13"/>
        <v>0.3</v>
      </c>
      <c r="P10" s="5">
        <f t="shared" si="3"/>
        <v>0.108</v>
      </c>
      <c r="Q10" s="5">
        <f t="shared" si="4"/>
        <v>0.1198559671</v>
      </c>
      <c r="R10" s="6">
        <f t="shared" si="5"/>
        <v>2.588888889</v>
      </c>
      <c r="S10" s="6">
        <f t="shared" si="6"/>
        <v>200</v>
      </c>
      <c r="T10" s="1"/>
      <c r="U10" s="1"/>
      <c r="V10" s="1"/>
      <c r="W10" s="1"/>
      <c r="X10" s="1"/>
      <c r="Y10" s="1"/>
      <c r="Z10" s="1"/>
    </row>
    <row r="11">
      <c r="A11" s="1" t="s">
        <v>55</v>
      </c>
      <c r="B11" s="1" t="s">
        <v>56</v>
      </c>
      <c r="C11" s="3">
        <v>45848.0</v>
      </c>
      <c r="D11" s="1" t="s">
        <v>21</v>
      </c>
      <c r="E11" s="1" t="s">
        <v>22</v>
      </c>
      <c r="F11" s="1" t="s">
        <v>42</v>
      </c>
      <c r="G11" s="4">
        <v>48000.0</v>
      </c>
      <c r="H11" s="4">
        <v>14400.0</v>
      </c>
      <c r="I11" s="4">
        <v>3600.0</v>
      </c>
      <c r="J11" s="4">
        <v>480.0</v>
      </c>
      <c r="K11" s="4">
        <v>96.0</v>
      </c>
      <c r="L11" s="4">
        <v>324.0</v>
      </c>
      <c r="M11" s="4">
        <v>64800.0</v>
      </c>
      <c r="N11" s="5">
        <f t="shared" ref="N11:O11" si="14">(H11/G11)</f>
        <v>0.3</v>
      </c>
      <c r="O11" s="5">
        <f t="shared" si="14"/>
        <v>0.25</v>
      </c>
      <c r="P11" s="5">
        <f t="shared" si="3"/>
        <v>0.075</v>
      </c>
      <c r="Q11" s="5">
        <f t="shared" si="4"/>
        <v>0.09</v>
      </c>
      <c r="R11" s="6">
        <f t="shared" si="5"/>
        <v>1.35</v>
      </c>
      <c r="S11" s="6">
        <f t="shared" si="6"/>
        <v>200</v>
      </c>
      <c r="T11" s="1"/>
      <c r="U11" s="1"/>
      <c r="V11" s="1"/>
      <c r="W11" s="1"/>
      <c r="X11" s="1"/>
      <c r="Y11" s="1"/>
      <c r="Z11" s="1"/>
    </row>
    <row r="12">
      <c r="A12" s="1" t="s">
        <v>57</v>
      </c>
      <c r="B12" s="1" t="s">
        <v>58</v>
      </c>
      <c r="C12" s="1" t="s">
        <v>59</v>
      </c>
      <c r="D12" s="1" t="s">
        <v>21</v>
      </c>
      <c r="E12" s="1" t="s">
        <v>41</v>
      </c>
      <c r="F12" s="1" t="s">
        <v>32</v>
      </c>
      <c r="G12" s="4">
        <v>55000.0</v>
      </c>
      <c r="H12" s="4">
        <v>13750.0</v>
      </c>
      <c r="I12" s="4">
        <v>3438.0</v>
      </c>
      <c r="J12" s="4">
        <v>550.0</v>
      </c>
      <c r="K12" s="4">
        <v>110.0</v>
      </c>
      <c r="L12" s="4">
        <v>275.0</v>
      </c>
      <c r="M12" s="4">
        <v>55000.0</v>
      </c>
      <c r="N12" s="5">
        <f t="shared" ref="N12:O12" si="15">(H12/G12)</f>
        <v>0.25</v>
      </c>
      <c r="O12" s="5">
        <f t="shared" si="15"/>
        <v>0.2500363636</v>
      </c>
      <c r="P12" s="5">
        <f t="shared" si="3"/>
        <v>0.06250909091</v>
      </c>
      <c r="Q12" s="5">
        <f t="shared" si="4"/>
        <v>0.07998836533</v>
      </c>
      <c r="R12" s="6">
        <f t="shared" si="5"/>
        <v>1</v>
      </c>
      <c r="S12" s="6">
        <f t="shared" si="6"/>
        <v>200</v>
      </c>
      <c r="T12" s="1"/>
      <c r="U12" s="1"/>
      <c r="V12" s="1"/>
      <c r="W12" s="1"/>
      <c r="X12" s="1"/>
      <c r="Y12" s="1"/>
      <c r="Z12" s="1"/>
    </row>
    <row r="13">
      <c r="A13" s="1" t="s">
        <v>60</v>
      </c>
      <c r="B13" s="1" t="s">
        <v>61</v>
      </c>
      <c r="C13" s="1" t="s">
        <v>62</v>
      </c>
      <c r="D13" s="1" t="s">
        <v>21</v>
      </c>
      <c r="E13" s="1" t="s">
        <v>22</v>
      </c>
      <c r="F13" s="1" t="s">
        <v>27</v>
      </c>
      <c r="G13" s="4">
        <v>38000.0</v>
      </c>
      <c r="H13" s="4">
        <v>13300.0</v>
      </c>
      <c r="I13" s="4">
        <v>2660.0</v>
      </c>
      <c r="J13" s="4">
        <v>380.0</v>
      </c>
      <c r="K13" s="4">
        <v>76.0</v>
      </c>
      <c r="L13" s="4">
        <v>186.0</v>
      </c>
      <c r="M13" s="4">
        <v>18600.0</v>
      </c>
      <c r="N13" s="5">
        <f t="shared" ref="N13:O13" si="16">(H13/G13)</f>
        <v>0.35</v>
      </c>
      <c r="O13" s="5">
        <f t="shared" si="16"/>
        <v>0.2</v>
      </c>
      <c r="P13" s="5">
        <f t="shared" si="3"/>
        <v>0.07</v>
      </c>
      <c r="Q13" s="5">
        <f t="shared" si="4"/>
        <v>0.06992481203</v>
      </c>
      <c r="R13" s="6">
        <f t="shared" si="5"/>
        <v>0.4894736842</v>
      </c>
      <c r="S13" s="6">
        <f t="shared" si="6"/>
        <v>100</v>
      </c>
      <c r="T13" s="1"/>
      <c r="U13" s="1"/>
      <c r="V13" s="1"/>
      <c r="W13" s="1"/>
      <c r="X13" s="1"/>
      <c r="Y13" s="1"/>
      <c r="Z13" s="1"/>
    </row>
    <row r="14">
      <c r="A14" s="1" t="s">
        <v>63</v>
      </c>
      <c r="B14" s="1" t="s">
        <v>64</v>
      </c>
      <c r="C14" s="1" t="s">
        <v>65</v>
      </c>
      <c r="D14" s="1" t="s">
        <v>21</v>
      </c>
      <c r="E14" s="1" t="s">
        <v>41</v>
      </c>
      <c r="F14" s="1" t="s">
        <v>23</v>
      </c>
      <c r="G14" s="4">
        <v>62000.0</v>
      </c>
      <c r="H14" s="4">
        <v>18600.0</v>
      </c>
      <c r="I14" s="4">
        <v>4650.0</v>
      </c>
      <c r="J14" s="4">
        <v>620.0</v>
      </c>
      <c r="K14" s="4">
        <v>124.0</v>
      </c>
      <c r="L14" s="4">
        <v>465.0</v>
      </c>
      <c r="M14" s="4">
        <v>93000.0</v>
      </c>
      <c r="N14" s="5">
        <f t="shared" ref="N14:O14" si="17">(H14/G14)</f>
        <v>0.3</v>
      </c>
      <c r="O14" s="5">
        <f t="shared" si="17"/>
        <v>0.25</v>
      </c>
      <c r="P14" s="5">
        <f t="shared" si="3"/>
        <v>0.075</v>
      </c>
      <c r="Q14" s="5">
        <f t="shared" si="4"/>
        <v>0.1</v>
      </c>
      <c r="R14" s="6">
        <f t="shared" si="5"/>
        <v>1.5</v>
      </c>
      <c r="S14" s="6">
        <f t="shared" si="6"/>
        <v>200</v>
      </c>
      <c r="T14" s="1"/>
      <c r="U14" s="1"/>
      <c r="V14" s="1"/>
      <c r="W14" s="1"/>
      <c r="X14" s="1"/>
      <c r="Y14" s="1"/>
      <c r="Z14" s="1"/>
    </row>
    <row r="15">
      <c r="A15" s="1" t="s">
        <v>66</v>
      </c>
      <c r="B15" s="1" t="s">
        <v>67</v>
      </c>
      <c r="C15" s="3">
        <v>45758.0</v>
      </c>
      <c r="D15" s="1" t="s">
        <v>21</v>
      </c>
      <c r="E15" s="1" t="s">
        <v>22</v>
      </c>
      <c r="F15" s="1" t="s">
        <v>27</v>
      </c>
      <c r="G15" s="4">
        <v>44000.0</v>
      </c>
      <c r="H15" s="4">
        <v>15400.0</v>
      </c>
      <c r="I15" s="4">
        <v>3080.0</v>
      </c>
      <c r="J15" s="4">
        <v>440.0</v>
      </c>
      <c r="K15" s="4">
        <v>88.0</v>
      </c>
      <c r="L15" s="4">
        <v>216.0</v>
      </c>
      <c r="M15" s="4">
        <v>21600.0</v>
      </c>
      <c r="N15" s="5">
        <f t="shared" ref="N15:O15" si="18">(H15/G15)</f>
        <v>0.35</v>
      </c>
      <c r="O15" s="5">
        <f t="shared" si="18"/>
        <v>0.2</v>
      </c>
      <c r="P15" s="5">
        <f t="shared" si="3"/>
        <v>0.07</v>
      </c>
      <c r="Q15" s="5">
        <f t="shared" si="4"/>
        <v>0.07012987013</v>
      </c>
      <c r="R15" s="6">
        <f t="shared" si="5"/>
        <v>0.4909090909</v>
      </c>
      <c r="S15" s="6">
        <f t="shared" si="6"/>
        <v>100</v>
      </c>
      <c r="T15" s="1"/>
      <c r="U15" s="1"/>
      <c r="V15" s="1"/>
      <c r="W15" s="1"/>
      <c r="X15" s="1"/>
      <c r="Y15" s="1"/>
      <c r="Z15" s="1"/>
    </row>
    <row r="16">
      <c r="A16" s="1" t="s">
        <v>68</v>
      </c>
      <c r="B16" s="1" t="s">
        <v>69</v>
      </c>
      <c r="C16" s="7">
        <v>45972.0</v>
      </c>
      <c r="D16" s="1" t="s">
        <v>21</v>
      </c>
      <c r="E16" s="1" t="s">
        <v>41</v>
      </c>
      <c r="F16" s="1" t="s">
        <v>32</v>
      </c>
      <c r="G16" s="4">
        <v>70000.0</v>
      </c>
      <c r="H16" s="4">
        <v>24500.0</v>
      </c>
      <c r="I16" s="4">
        <v>6125.0</v>
      </c>
      <c r="J16" s="4">
        <v>700.0</v>
      </c>
      <c r="K16" s="4">
        <v>140.0</v>
      </c>
      <c r="L16" s="4">
        <v>613.0</v>
      </c>
      <c r="M16" s="4">
        <v>122600.0</v>
      </c>
      <c r="N16" s="5">
        <f t="shared" ref="N16:O16" si="19">(H16/G16)</f>
        <v>0.35</v>
      </c>
      <c r="O16" s="5">
        <f t="shared" si="19"/>
        <v>0.25</v>
      </c>
      <c r="P16" s="5">
        <f t="shared" si="3"/>
        <v>0.0875</v>
      </c>
      <c r="Q16" s="5">
        <f t="shared" si="4"/>
        <v>0.1000816327</v>
      </c>
      <c r="R16" s="6">
        <f t="shared" si="5"/>
        <v>1.751428571</v>
      </c>
      <c r="S16" s="6">
        <f t="shared" si="6"/>
        <v>200</v>
      </c>
      <c r="T16" s="1"/>
      <c r="U16" s="1"/>
      <c r="V16" s="1"/>
      <c r="W16" s="1"/>
      <c r="X16" s="1"/>
      <c r="Y16" s="1"/>
      <c r="Z16" s="1"/>
    </row>
    <row r="17">
      <c r="A17" s="1" t="s">
        <v>70</v>
      </c>
      <c r="B17" s="1" t="s">
        <v>71</v>
      </c>
      <c r="C17" s="1" t="s">
        <v>72</v>
      </c>
      <c r="D17" s="1" t="s">
        <v>21</v>
      </c>
      <c r="E17" s="1" t="s">
        <v>41</v>
      </c>
      <c r="F17" s="1" t="s">
        <v>23</v>
      </c>
      <c r="G17" s="4">
        <v>75000.0</v>
      </c>
      <c r="H17" s="4">
        <v>26250.0</v>
      </c>
      <c r="I17" s="4">
        <v>6563.0</v>
      </c>
      <c r="J17" s="4">
        <v>750.0</v>
      </c>
      <c r="K17" s="4">
        <v>150.0</v>
      </c>
      <c r="L17" s="4">
        <v>722.0</v>
      </c>
      <c r="M17" s="4">
        <v>144400.0</v>
      </c>
      <c r="N17" s="5">
        <f t="shared" ref="N17:O17" si="20">(H17/G17)</f>
        <v>0.35</v>
      </c>
      <c r="O17" s="5">
        <f t="shared" si="20"/>
        <v>0.2500190476</v>
      </c>
      <c r="P17" s="5">
        <f t="shared" si="3"/>
        <v>0.08750666667</v>
      </c>
      <c r="Q17" s="5">
        <f t="shared" si="4"/>
        <v>0.1100106659</v>
      </c>
      <c r="R17" s="6">
        <f t="shared" si="5"/>
        <v>1.925333333</v>
      </c>
      <c r="S17" s="6">
        <f t="shared" si="6"/>
        <v>200</v>
      </c>
      <c r="T17" s="1"/>
      <c r="U17" s="1"/>
      <c r="V17" s="1"/>
      <c r="W17" s="1"/>
      <c r="X17" s="1"/>
      <c r="Y17" s="1"/>
      <c r="Z17" s="1"/>
    </row>
    <row r="18">
      <c r="A18" s="1" t="s">
        <v>73</v>
      </c>
      <c r="B18" s="1" t="s">
        <v>74</v>
      </c>
      <c r="C18" s="3">
        <v>45700.0</v>
      </c>
      <c r="D18" s="1" t="s">
        <v>21</v>
      </c>
      <c r="E18" s="1" t="s">
        <v>41</v>
      </c>
      <c r="F18" s="1" t="s">
        <v>23</v>
      </c>
      <c r="G18" s="4">
        <v>72000.0</v>
      </c>
      <c r="H18" s="4">
        <v>25200.0</v>
      </c>
      <c r="I18" s="4">
        <v>6300.0</v>
      </c>
      <c r="J18" s="4">
        <v>720.0</v>
      </c>
      <c r="K18" s="4">
        <v>144.0</v>
      </c>
      <c r="L18" s="4">
        <v>693.0</v>
      </c>
      <c r="M18" s="4">
        <v>138600.0</v>
      </c>
      <c r="N18" s="5">
        <f t="shared" ref="N18:O18" si="21">(H18/G18)</f>
        <v>0.35</v>
      </c>
      <c r="O18" s="5">
        <f t="shared" si="21"/>
        <v>0.25</v>
      </c>
      <c r="P18" s="5">
        <f t="shared" si="3"/>
        <v>0.0875</v>
      </c>
      <c r="Q18" s="5">
        <f t="shared" si="4"/>
        <v>0.11</v>
      </c>
      <c r="R18" s="6">
        <f t="shared" si="5"/>
        <v>1.925</v>
      </c>
      <c r="S18" s="6">
        <f t="shared" si="6"/>
        <v>200</v>
      </c>
      <c r="T18" s="1"/>
      <c r="U18" s="1"/>
      <c r="V18" s="1"/>
      <c r="W18" s="1"/>
      <c r="X18" s="1"/>
      <c r="Y18" s="1"/>
      <c r="Z18" s="1"/>
    </row>
    <row r="19">
      <c r="A19" s="1" t="s">
        <v>75</v>
      </c>
      <c r="B19" s="1" t="s">
        <v>76</v>
      </c>
      <c r="C19" s="3">
        <v>45912.0</v>
      </c>
      <c r="D19" s="1" t="s">
        <v>21</v>
      </c>
      <c r="E19" s="1" t="s">
        <v>22</v>
      </c>
      <c r="F19" s="1" t="s">
        <v>27</v>
      </c>
      <c r="G19" s="4">
        <v>50000.0</v>
      </c>
      <c r="H19" s="4">
        <v>17500.0</v>
      </c>
      <c r="I19" s="4">
        <v>3500.0</v>
      </c>
      <c r="J19" s="4">
        <v>500.0</v>
      </c>
      <c r="K19" s="4">
        <v>100.0</v>
      </c>
      <c r="L19" s="4">
        <v>280.0</v>
      </c>
      <c r="M19" s="4">
        <v>56000.0</v>
      </c>
      <c r="N19" s="5">
        <f t="shared" ref="N19:O19" si="22">(H19/G19)</f>
        <v>0.35</v>
      </c>
      <c r="O19" s="5">
        <f t="shared" si="22"/>
        <v>0.2</v>
      </c>
      <c r="P19" s="5">
        <f t="shared" si="3"/>
        <v>0.07</v>
      </c>
      <c r="Q19" s="5">
        <f t="shared" si="4"/>
        <v>0.08</v>
      </c>
      <c r="R19" s="6">
        <f t="shared" si="5"/>
        <v>1.12</v>
      </c>
      <c r="S19" s="6">
        <f t="shared" si="6"/>
        <v>200</v>
      </c>
      <c r="T19" s="1"/>
      <c r="U19" s="1"/>
      <c r="V19" s="1"/>
      <c r="W19" s="1"/>
      <c r="X19" s="1"/>
      <c r="Y19" s="1"/>
      <c r="Z19" s="1"/>
    </row>
    <row r="20">
      <c r="A20" s="1" t="s">
        <v>77</v>
      </c>
      <c r="B20" s="1" t="s">
        <v>78</v>
      </c>
      <c r="C20" s="1" t="s">
        <v>79</v>
      </c>
      <c r="D20" s="1" t="s">
        <v>21</v>
      </c>
      <c r="E20" s="1" t="s">
        <v>41</v>
      </c>
      <c r="F20" s="1" t="s">
        <v>32</v>
      </c>
      <c r="G20" s="4">
        <v>65000.0</v>
      </c>
      <c r="H20" s="4">
        <v>19500.0</v>
      </c>
      <c r="I20" s="4">
        <v>4875.0</v>
      </c>
      <c r="J20" s="4">
        <v>650.0</v>
      </c>
      <c r="K20" s="4">
        <v>130.0</v>
      </c>
      <c r="L20" s="4">
        <v>438.0</v>
      </c>
      <c r="M20" s="4">
        <v>87600.0</v>
      </c>
      <c r="N20" s="5">
        <f t="shared" ref="N20:O20" si="23">(H20/G20)</f>
        <v>0.3</v>
      </c>
      <c r="O20" s="5">
        <f t="shared" si="23"/>
        <v>0.25</v>
      </c>
      <c r="P20" s="5">
        <f t="shared" si="3"/>
        <v>0.075</v>
      </c>
      <c r="Q20" s="5">
        <f t="shared" si="4"/>
        <v>0.08984615385</v>
      </c>
      <c r="R20" s="6">
        <f t="shared" si="5"/>
        <v>1.347692308</v>
      </c>
      <c r="S20" s="6">
        <f t="shared" si="6"/>
        <v>200</v>
      </c>
      <c r="T20" s="1"/>
      <c r="U20" s="1"/>
      <c r="V20" s="1"/>
      <c r="W20" s="1"/>
      <c r="X20" s="1"/>
      <c r="Y20" s="1"/>
      <c r="Z20" s="1"/>
    </row>
    <row r="21">
      <c r="A21" s="1" t="s">
        <v>80</v>
      </c>
      <c r="B21" s="1" t="s">
        <v>81</v>
      </c>
      <c r="C21" s="1" t="s">
        <v>82</v>
      </c>
      <c r="D21" s="1" t="s">
        <v>21</v>
      </c>
      <c r="E21" s="1" t="s">
        <v>22</v>
      </c>
      <c r="F21" s="1" t="s">
        <v>23</v>
      </c>
      <c r="G21" s="4">
        <v>58000.0</v>
      </c>
      <c r="H21" s="4">
        <v>20300.0</v>
      </c>
      <c r="I21" s="4">
        <v>5075.0</v>
      </c>
      <c r="J21" s="4">
        <v>580.0</v>
      </c>
      <c r="K21" s="4">
        <v>116.0</v>
      </c>
      <c r="L21" s="4">
        <v>457.0</v>
      </c>
      <c r="M21" s="4">
        <v>91400.0</v>
      </c>
      <c r="N21" s="5">
        <f t="shared" ref="N21:O21" si="24">(H21/G21)</f>
        <v>0.35</v>
      </c>
      <c r="O21" s="5">
        <f t="shared" si="24"/>
        <v>0.25</v>
      </c>
      <c r="P21" s="5">
        <f t="shared" si="3"/>
        <v>0.0875</v>
      </c>
      <c r="Q21" s="5">
        <f t="shared" si="4"/>
        <v>0.09004926108</v>
      </c>
      <c r="R21" s="6">
        <f t="shared" si="5"/>
        <v>1.575862069</v>
      </c>
      <c r="S21" s="6">
        <f t="shared" si="6"/>
        <v>200</v>
      </c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